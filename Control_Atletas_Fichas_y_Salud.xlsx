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mc:AlternateContent xmlns:mc="http://schemas.openxmlformats.org/markup-compatibility/2006">
    <mc:Choice Requires="x15">
      <x15ac:absPath xmlns:x15ac="http://schemas.microsoft.com/office/spreadsheetml/2010/11/ac" url="https://d.docs.live.net/f444343a06981a97/Desktop/"/>
    </mc:Choice>
  </mc:AlternateContent>
  <xr:revisionPtr revIDLastSave="3" documentId="11_861912B85AD4FCB3CC8DC076761CD7E1E6866E7E" xr6:coauthVersionLast="47" xr6:coauthVersionMax="47" xr10:uidLastSave="{2AFF4BC5-C20C-401E-AA01-F5D219D32496}"/>
  <bookViews>
    <workbookView xWindow="-120" yWindow="-120" windowWidth="20730" windowHeight="11040" activeTab="3" xr2:uid="{00000000-000D-0000-FFFF-FFFF00000000}"/>
  </bookViews>
  <sheets>
    <sheet name="Base_de_Datos" sheetId="1" r:id="rId1"/>
    <sheet name="Ficha_Individual" sheetId="2" r:id="rId2"/>
    <sheet name="Fichas_Todos_Impresion" sheetId="3" r:id="rId3"/>
    <sheet name="Codigo_VBA_y_Manual"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4" i="3" l="1"/>
  <c r="C74" i="3"/>
  <c r="F73" i="3"/>
  <c r="C73" i="3"/>
  <c r="C71" i="3"/>
  <c r="G70" i="3"/>
  <c r="E70" i="3"/>
  <c r="C70" i="3"/>
  <c r="E69" i="3"/>
  <c r="C69" i="3"/>
  <c r="A68" i="3"/>
  <c r="F65" i="3"/>
  <c r="C65" i="3"/>
  <c r="F64" i="3"/>
  <c r="C64" i="3"/>
  <c r="C62" i="3"/>
  <c r="E61" i="3"/>
  <c r="C61" i="3"/>
  <c r="E60" i="3"/>
  <c r="C60" i="3"/>
  <c r="A59" i="3"/>
  <c r="F56" i="3"/>
  <c r="C56" i="3"/>
  <c r="F55" i="3"/>
  <c r="C55" i="3"/>
  <c r="C53" i="3"/>
  <c r="G52" i="3"/>
  <c r="E52" i="3"/>
  <c r="C52" i="3"/>
  <c r="E51" i="3"/>
  <c r="C51" i="3"/>
  <c r="A50" i="3"/>
  <c r="F47" i="3"/>
  <c r="C47" i="3"/>
  <c r="F46" i="3"/>
  <c r="C46" i="3"/>
  <c r="C44" i="3"/>
  <c r="E43" i="3"/>
  <c r="C43" i="3"/>
  <c r="E42" i="3"/>
  <c r="C42" i="3"/>
  <c r="A41" i="3"/>
  <c r="F38" i="3"/>
  <c r="C38" i="3"/>
  <c r="F37" i="3"/>
  <c r="C37" i="3"/>
  <c r="C35" i="3"/>
  <c r="G34" i="3"/>
  <c r="E34" i="3"/>
  <c r="C34" i="3"/>
  <c r="E33" i="3"/>
  <c r="C33" i="3"/>
  <c r="A32" i="3"/>
  <c r="F29" i="3"/>
  <c r="C29" i="3"/>
  <c r="F28" i="3"/>
  <c r="C28" i="3"/>
  <c r="C26" i="3"/>
  <c r="E25" i="3"/>
  <c r="C25" i="3"/>
  <c r="E24" i="3"/>
  <c r="C24" i="3"/>
  <c r="A23" i="3"/>
  <c r="F20" i="3"/>
  <c r="C20" i="3"/>
  <c r="F19" i="3"/>
  <c r="C19" i="3"/>
  <c r="C17" i="3"/>
  <c r="G16" i="3"/>
  <c r="E16" i="3"/>
  <c r="C16" i="3"/>
  <c r="E15" i="3"/>
  <c r="C15" i="3"/>
  <c r="A14" i="3"/>
  <c r="F11" i="3"/>
  <c r="C11" i="3"/>
  <c r="F10" i="3"/>
  <c r="C10" i="3"/>
  <c r="C8" i="3"/>
  <c r="E7" i="3"/>
  <c r="C7" i="3"/>
  <c r="E6" i="3"/>
  <c r="C6" i="3"/>
  <c r="A5" i="3"/>
  <c r="C24" i="2"/>
  <c r="F24" i="2" s="1"/>
  <c r="F21" i="2"/>
  <c r="C21" i="2"/>
  <c r="F20" i="2"/>
  <c r="C20" i="2"/>
  <c r="D16" i="2"/>
  <c r="E15" i="2"/>
  <c r="C15" i="2"/>
  <c r="E9" i="2"/>
  <c r="G8" i="2"/>
  <c r="E8" i="2"/>
  <c r="G7" i="2"/>
  <c r="E7" i="2"/>
  <c r="G6" i="2"/>
  <c r="E6" i="2"/>
  <c r="J12" i="1"/>
  <c r="G12" i="1"/>
  <c r="G69" i="3" s="1"/>
  <c r="J11" i="1"/>
  <c r="G61" i="3" s="1"/>
  <c r="G11" i="1"/>
  <c r="G60" i="3" s="1"/>
  <c r="J10" i="1"/>
  <c r="G10" i="1"/>
  <c r="G51" i="3" s="1"/>
  <c r="J9" i="1"/>
  <c r="G43" i="3" s="1"/>
  <c r="G9" i="1"/>
  <c r="G42" i="3" s="1"/>
  <c r="J8" i="1"/>
  <c r="G8" i="1"/>
  <c r="G33" i="3" s="1"/>
  <c r="J7" i="1"/>
  <c r="G25" i="3" s="1"/>
  <c r="G7" i="1"/>
  <c r="G24" i="3" s="1"/>
  <c r="J6" i="1"/>
  <c r="G6" i="1"/>
  <c r="G15" i="3" s="1"/>
  <c r="J5" i="1"/>
  <c r="G7" i="3" s="1"/>
  <c r="G5" i="1"/>
  <c r="G6" i="3" s="1"/>
  <c r="G15" i="2" l="1"/>
  <c r="G9" i="2"/>
</calcChain>
</file>

<file path=xl/sharedStrings.xml><?xml version="1.0" encoding="utf-8"?>
<sst xmlns="http://schemas.openxmlformats.org/spreadsheetml/2006/main" count="271" uniqueCount="162">
  <si>
    <t>SISTEMA DE REGISTRO Y CONTROL DE ATLETAS - BASE DE DATOS GENERAL</t>
  </si>
  <si>
    <t>Listado general de atletas registrados, datos físicos, condiciones médicas y contactos de emergencia.</t>
  </si>
  <si>
    <t>ID Atleta</t>
  </si>
  <si>
    <t>Fecha Ingreso</t>
  </si>
  <si>
    <t>Nombres</t>
  </si>
  <si>
    <t>Apellidos</t>
  </si>
  <si>
    <t>Cédula / Doc</t>
  </si>
  <si>
    <t>Fecha Nac.</t>
  </si>
  <si>
    <t>Edad</t>
  </si>
  <si>
    <t>Peso (kg)</t>
  </si>
  <si>
    <t>Estatura (m)</t>
  </si>
  <si>
    <t>IMC</t>
  </si>
  <si>
    <t>Situación de Salud / Alergias</t>
  </si>
  <si>
    <t>Nombre Representante</t>
  </si>
  <si>
    <t>Parentesco</t>
  </si>
  <si>
    <t>Teléfono Rep.</t>
  </si>
  <si>
    <t>Teléfono Emergencia</t>
  </si>
  <si>
    <t>Ruta / Nombre Foto</t>
  </si>
  <si>
    <t>Estatus</t>
  </si>
  <si>
    <t>ATL-001</t>
  </si>
  <si>
    <t>2025-01-15</t>
  </si>
  <si>
    <t>Carlos Eduardo</t>
  </si>
  <si>
    <t>Mendoza Pérez</t>
  </si>
  <si>
    <t>V-30.123.456</t>
  </si>
  <si>
    <t>2008-05-12</t>
  </si>
  <si>
    <t>Sin novedades médicas</t>
  </si>
  <si>
    <t>Roberto Mendoza</t>
  </si>
  <si>
    <t>Padre</t>
  </si>
  <si>
    <t>0414-1234567</t>
  </si>
  <si>
    <t>0424-7654321</t>
  </si>
  <si>
    <t>carlos_mendoza.jpg</t>
  </si>
  <si>
    <t>Activo</t>
  </si>
  <si>
    <t>ATL-002</t>
  </si>
  <si>
    <t>2025-01-20</t>
  </si>
  <si>
    <t>Sofía Valentina</t>
  </si>
  <si>
    <t>Gómez Rivas</t>
  </si>
  <si>
    <t>V-31.456.789</t>
  </si>
  <si>
    <t>2009-08-24</t>
  </si>
  <si>
    <t>Alergia a la Penicilina</t>
  </si>
  <si>
    <t>Elena Rivas</t>
  </si>
  <si>
    <t>Madre</t>
  </si>
  <si>
    <t>0412-9876543</t>
  </si>
  <si>
    <t>0416-5554433</t>
  </si>
  <si>
    <t>sofia_gomez.jpg</t>
  </si>
  <si>
    <t>ATL-003</t>
  </si>
  <si>
    <t>2025-02-01</t>
  </si>
  <si>
    <t>Erick José</t>
  </si>
  <si>
    <t>Lambert Silva</t>
  </si>
  <si>
    <t>V-29.876.543</t>
  </si>
  <si>
    <t>2007-11-03</t>
  </si>
  <si>
    <t>Ninguna</t>
  </si>
  <si>
    <t>José Lambert</t>
  </si>
  <si>
    <t>0424-1112233</t>
  </si>
  <si>
    <t>0414-9998877</t>
  </si>
  <si>
    <t>erick_lambert.jpg</t>
  </si>
  <si>
    <t>ATL-004</t>
  </si>
  <si>
    <t>2025-02-10</t>
  </si>
  <si>
    <t>Mariana Isabel</t>
  </si>
  <si>
    <t>Torres Castro</t>
  </si>
  <si>
    <t>V-32.111.222</t>
  </si>
  <si>
    <t>2010-03-15</t>
  </si>
  <si>
    <t>Asma leve (Usa Inhalador)</t>
  </si>
  <si>
    <t>Carmen Castro</t>
  </si>
  <si>
    <t>0416-3334455</t>
  </si>
  <si>
    <t>0412-7778899</t>
  </si>
  <si>
    <t>mariana_torres.jpg</t>
  </si>
  <si>
    <t>ATL-005</t>
  </si>
  <si>
    <t>2025-03-05</t>
  </si>
  <si>
    <t>Gabriel Alejandro</t>
  </si>
  <si>
    <t>Rojas Medina</t>
  </si>
  <si>
    <t>V-30.555.666</t>
  </si>
  <si>
    <t>2008-09-30</t>
  </si>
  <si>
    <t>Intolerante a la Lactosa</t>
  </si>
  <si>
    <t>Fernando Rojas</t>
  </si>
  <si>
    <t>0414-6667788</t>
  </si>
  <si>
    <t>0424-2223344</t>
  </si>
  <si>
    <t>gabriel_rojas.jpg</t>
  </si>
  <si>
    <t>ATL-006</t>
  </si>
  <si>
    <t>2025-03-12</t>
  </si>
  <si>
    <t>Daniela Victoria</t>
  </si>
  <si>
    <t>López Hernández</t>
  </si>
  <si>
    <t>V-31.888.999</t>
  </si>
  <si>
    <t>2009-12-18</t>
  </si>
  <si>
    <t>Patricia Hernández</t>
  </si>
  <si>
    <t>0424-8889900</t>
  </si>
  <si>
    <t>0414-4445566</t>
  </si>
  <si>
    <t>daniela_lopez.jpg</t>
  </si>
  <si>
    <t>ATL-007</t>
  </si>
  <si>
    <t>2025-04-01</t>
  </si>
  <si>
    <t>Luis Fernando</t>
  </si>
  <si>
    <t>Díaz Morales</t>
  </si>
  <si>
    <t>V-29.333.444</t>
  </si>
  <si>
    <t>2007-04-25</t>
  </si>
  <si>
    <t>Lesión previa en rodilla izquierda (recuperado)</t>
  </si>
  <si>
    <t>Luis Díaz Sr.</t>
  </si>
  <si>
    <t>0412-1110000</t>
  </si>
  <si>
    <t>0416-2221111</t>
  </si>
  <si>
    <t>luis_diaz.jpg</t>
  </si>
  <si>
    <t>ATL-008</t>
  </si>
  <si>
    <t>2025-04-18</t>
  </si>
  <si>
    <t>Camila Andrea</t>
  </si>
  <si>
    <t>Sánchez Romero</t>
  </si>
  <si>
    <t>V-32.444.555</t>
  </si>
  <si>
    <t>2010-07-08</t>
  </si>
  <si>
    <t>Andrea Romero</t>
  </si>
  <si>
    <t>0414-5556677</t>
  </si>
  <si>
    <t>0424-8887766</t>
  </si>
  <si>
    <t>camila_sanchez.jpg</t>
  </si>
  <si>
    <t>FICHA TÉCNICA E INDIVIDUAL DEL ATLETA</t>
  </si>
  <si>
    <t>SELECCIONAR ATLETA (ID):</t>
  </si>
  <si>
    <t>◄ Seleccione un ID de la lista para cargar los datos del atleta automáticamente</t>
  </si>
  <si>
    <t>📷
FOTO TIPO CARNET
(Inserta o carga foto aquí)</t>
  </si>
  <si>
    <t>ID del Atleta:</t>
  </si>
  <si>
    <t>Estatus:</t>
  </si>
  <si>
    <t>Nombres:</t>
  </si>
  <si>
    <t>Apellidos:</t>
  </si>
  <si>
    <t>Cédula / Doc:</t>
  </si>
  <si>
    <t>Fecha de Ingreso:</t>
  </si>
  <si>
    <t>Fecha Nacimiento:</t>
  </si>
  <si>
    <t>Edad:</t>
  </si>
  <si>
    <t>PERFIL FÍSICO Y CONDICIÓN DE SALUD</t>
  </si>
  <si>
    <t>Peso (kg):</t>
  </si>
  <si>
    <t>Estatura (m):</t>
  </si>
  <si>
    <t>IMC (Índice Masa Corp.):</t>
  </si>
  <si>
    <t>Situación / Condición Médica y Alergias:</t>
  </si>
  <si>
    <t>DATOS DEL REPRESENTANTE Y CONTACTOS DE EMERGENCIA</t>
  </si>
  <si>
    <t>Nombre Representante:</t>
  </si>
  <si>
    <t>Parentesco:</t>
  </si>
  <si>
    <t>Teléfono Representante:</t>
  </si>
  <si>
    <t>Teléfono Emergencia:</t>
  </si>
  <si>
    <t>REGISTRO DE FOTO Y ARCHIVOS ADJUNTOS</t>
  </si>
  <si>
    <t>Nombre Archivo Foto:</t>
  </si>
  <si>
    <t>Ubicación en Sistema:</t>
  </si>
  <si>
    <t>💡 ACCIONES CON MACRO VBA:
Para cargar la foto de forma automática o imprimir esta ficha en PDF, ejecute la Macro desde el menú o use el botón asignado en Excel.</t>
  </si>
  <si>
    <t>CATÁLOGO Y FICHAS DE IMPRESIÓN DE TODOS LOS ATLETAS</t>
  </si>
  <si>
    <t>Formato preparado para impresión masiva. Cada tarjeta contiene la foto, datos personales, condición física, médica y contactos de emergencia.</t>
  </si>
  <si>
    <t>📷
FOTO
CARNET</t>
  </si>
  <si>
    <t>Cédula:</t>
  </si>
  <si>
    <t>Fecha Nac.:</t>
  </si>
  <si>
    <t>Ingreso:</t>
  </si>
  <si>
    <t>Peso / Est.:</t>
  </si>
  <si>
    <t>IMC:</t>
  </si>
  <si>
    <t>Salud / Med.:</t>
  </si>
  <si>
    <t>Representante:</t>
  </si>
  <si>
    <t>Tel. Rep.:</t>
  </si>
  <si>
    <t>Emergencia:</t>
  </si>
  <si>
    <t>✂ ------------------------------------------------------------------------------------------------------------------------</t>
  </si>
  <si>
    <t>GUÍA DE USO Y CÓDIGO MACRO VBA REGISTRO DE ATLETAS</t>
  </si>
  <si>
    <t>PASO 1: HABILITAR MACROS EN EXCEL</t>
  </si>
  <si>
    <t>1. Guarde este archivo con la extensión '.xlsm' (Libro de Excel habilitado para macros).</t>
  </si>
  <si>
    <t>2. Al abrir el archivo por primera vez, haga clic en 'Habilitar contenido' o 'Habilitar edición' en la barra superior amarilla.</t>
  </si>
  <si>
    <t>PASO 2: INSTALAR EL CÓDIGO MACRO</t>
  </si>
  <si>
    <t>1. Presione las teclas 'ALT + F11' en su teclado para abrir el Editor de Visual Basic (VBA).</t>
  </si>
  <si>
    <t>2. En el menú superior de VBA, haga clic en 'Insertar' -&gt; 'Módulo'.</t>
  </si>
  <si>
    <t>3. Copie todo el código VBA que se muestra abajo y péguelo en la ventana del Módulo.</t>
  </si>
  <si>
    <t>4. Cierre la ventana de Visual Basic (ALT + Q) y guarde el archivo.</t>
  </si>
  <si>
    <t>PASO 3: ORGANIZACIÓN DE LAS FOTOS DE LOS ATLETAS</t>
  </si>
  <si>
    <t>1. Cree una carpeta llamada 'fotos' en la misma ubicación donde guardó este archivo de Excel.</t>
  </si>
  <si>
    <t>2. Coloque allí las imágenes tipo carnet de cada atleta en formato JPG o PNG.</t>
  </si>
  <si>
    <t>3. En la columna 'Ruta / Nombre Foto' de la hoja 'Base_de_Datos', escriba el nombre exacto del archivo (ejemplo: 'carlos_mendoza.jpg').</t>
  </si>
  <si>
    <t>CÓDIGO MACRO VBA PARA COPIAR Y PEGAR (MÓDULO DE EXCEL)</t>
  </si>
  <si>
    <t xml:space="preserve">' ==============================================================================
' CÓDIGO MACRO VBA: CONTROL DE ATLETAS, CARGA DE FOTOS Y GENERACIÓN DE PDFs
' ==============================================================================
Sub CargarFotoAtleta()
    ' Carga la foto del atleta seleccionado en la Ficha Individual
    Dim wsInd As Worksheet
    Dim wsDB As Worksheet
    Dim nombreFoto As String
    Dim rutaCarpeta As String
    Dim rutaCompleta As String
    Dim shp As Shape
    Dim rangoFoto As Range
    Set wsInd = ThisWorkbook.Sheets("Ficha_Individual")
    Set wsDB = ThisWorkbook.Sheets("Base_de_Datos")
    ' Obtener nombre de la foto cargada en Ficha Individual (Celda C24)
    nombreFoto = wsInd.Range("C24").Value
    ' Definir rango de la celda donde va la foto (B6:C12)
    Set rangoFoto = wsInd.Range("B6:C12")
    ' Eliminar fotos previas en el rango
    For Each shp In wsInd.Shapes
        If Not shp.TopLeftCell Is Nothing Then
            If Not Intersect(shp.TopLeftCell, rangoFoto) Is Nothing Then
                shp.Delete
            End If
        End If
    Next shp
    If Trim(nombreFoto) = "" Or nombreFoto = " " Then
        MsgBox "No hay una foto asignada para este atleta.", vbInformation, "Atención"
        Exit Sub
    End If
    ' Ruta de la carpeta de fotos (Carpeta 'fotos' en la misma ruta del libro)
    rutaCarpeta = ThisWorkbook.Path &amp; "\fotos\"
    rutaCompleta = rutaCarpeta &amp; nombreFoto
    ' Verificar si existe el archivo de imagen
    If Dir(rutaCompleta) &lt;&gt; "" Then
        Dim img As Picture
        Set img = wsInd.Pictures.Insert(rutaCompleta)
        With img
            .Left = rangoFoto.Left + 2
            .Top = rangoFoto.Top + 2
            .Width = rangoFoto.Width - 4
            .Height = rangoFoto.Height - 4
            .Placement = xlMoveAndSize
        End With
    Else
        MsgBox "No se encontró el archivo de foto en: " &amp; rutaCompleta &amp; vbCrLf &amp; _
               "Asegúrese de guardar la imagen en la carpeta 'fotos'.", vbWarning, "Foto No Encontrada"
    End If
End Sub
Sub ExportarFichaPDF()
    ' Exporta la Ficha Individual actual a un archivo PDF
    Dim wsInd As Worksheet
    Dim idAtleta As String
    Dim rutaPDF As String
    Set wsInd = ThisWorkbook.Sheets("Ficha_Individual")
    idAtleta = wsInd.Range("C4").Value
    If idAtleta = "" Then
        MsgBox "Por favor seleccione un ID de atleta válido.", vbExclamation, "Error"
        Exit Sub
    End If
    ' Generar o actualizar foto antes de exportar
    Call CargarFotoAtleta
    rutaPDF = ThisWorkbook.Path &amp; "\Ficha_Atleta_" &amp; idAtleta &amp; ".pdf"
    wsInd.ExportAsFixedFormat Type:=xlTypePDF, Filename:=rutaPDF, _
        Quality:=xlQualityStandard, IncludeDocProperties:=True, _
        IgnorePrintAreas:=False, OpenAfterPublish:=True
    MsgBox "La ficha técnica ha sido exportada con éxito en:" &amp; vbCrLf &amp; rutaPDF, vbInformation, "Éxito"
End Sub
Sub ImprimirFichasTodos()
    ' Imprime o exporta a PDF la lista completa de fichas de la hoja Fichas_Todos_Impresion
    Dim wsAll As Worksheet
    Dim rutaPDF As String
    Set wsAll = ThisWorkbook.Sheets("Fichas_Todos_Impresion")
    rutaPDF = ThisWorkbook.Path &amp; "\Catálogo_Fichas_Todos_Atletas.pdf"
    wsAll.ExportAsFixedFormat Type:=xlTypePDF, Filename:=rutaPDF, _
        Quality:=xlQualityStandard, IncludeDocProperties:=True, _
        IgnorePrintAreas:=False, OpenAfterPublish:=True
    MsgBox "El catálogo completo de fichas se exportó a PDF:" &amp; vbCrLf &amp; rutaPDF, vbInformation, "Exportación Completada"
End Sub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</si>
</sst>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6"/>
      <color rgb="FFFFFFFF"/>
      <name val="Calibri"/>
    </font>
    <font>
      <i/>
      <sz val="9"/>
      <color rgb="FF595959"/>
      <name val="Calibri"/>
    </font>
    <font>
      <b/>
      <sz val="11"/>
      <color rgb="FFFFFFFF"/>
      <name val="Calibri"/>
    </font>
    <font>
      <sz val="11"/>
      <color rgb="FF000000"/>
      <name val="Calibri"/>
    </font>
    <font>
      <b/>
      <sz val="11"/>
      <color rgb="FF000000"/>
      <name val="Calibri"/>
    </font>
    <font>
      <b/>
      <sz val="12"/>
      <color rgb="FF1F4E78"/>
      <name val="Calibri"/>
    </font>
    <font>
      <b/>
      <sz val="10"/>
      <color rgb="FF7F7F7F"/>
      <name val="Calibri"/>
    </font>
    <font>
      <b/>
      <sz val="11"/>
      <color rgb="FF1F4E78"/>
      <name val="Calibri"/>
    </font>
    <font>
      <b/>
      <sz val="12"/>
      <color rgb="FFFFFFFF"/>
      <name val="Calibri"/>
    </font>
    <font>
      <i/>
      <sz val="10"/>
      <color rgb="FF1F4E78"/>
      <name val="Calibri"/>
    </font>
    <font>
      <b/>
      <sz val="9"/>
      <color rgb="FF7F7F7F"/>
      <name val="Calibri"/>
    </font>
    <font>
      <sz val="9"/>
      <color rgb="FF000000"/>
      <name val="Consolas"/>
    </font>
  </fonts>
  <fills count="11">
    <fill>
      <patternFill patternType="none"/>
    </fill>
    <fill>
      <patternFill patternType="gray125"/>
    </fill>
    <fill>
      <patternFill patternType="solid">
        <fgColor rgb="FF1F4E78"/>
        <bgColor rgb="FF1F4E78"/>
      </patternFill>
    </fill>
    <fill>
      <patternFill patternType="solid">
        <fgColor rgb="FF2F5597"/>
        <bgColor rgb="FF2F5597"/>
      </patternFill>
    </fill>
    <fill>
      <patternFill patternType="solid">
        <fgColor rgb="FFF2F4F8"/>
        <bgColor rgb="FFF2F4F8"/>
      </patternFill>
    </fill>
    <fill>
      <patternFill patternType="solid">
        <fgColor rgb="FFFFF2CC"/>
        <bgColor rgb="FFFFF2CC"/>
      </patternFill>
    </fill>
    <fill>
      <patternFill patternType="solid">
        <fgColor rgb="FFF2F2F2"/>
        <bgColor rgb="FFF2F2F2"/>
      </patternFill>
    </fill>
    <fill>
      <patternFill patternType="solid">
        <fgColor rgb="FFD9E1F2"/>
        <bgColor rgb="FFD9E1F2"/>
      </patternFill>
    </fill>
    <fill>
      <patternFill patternType="solid">
        <fgColor rgb="FFEBF1F5"/>
        <bgColor rgb="FFEBF1F5"/>
      </patternFill>
    </fill>
    <fill>
      <patternFill patternType="solid">
        <fgColor rgb="FF333333"/>
        <bgColor rgb="FF333333"/>
      </patternFill>
    </fill>
    <fill>
      <patternFill patternType="solid">
        <fgColor rgb="FFF5F5F5"/>
        <bgColor rgb="FFF5F5F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medium">
        <color rgb="FF1F4E78"/>
      </left>
      <right style="medium">
        <color rgb="FF1F4E78"/>
      </right>
      <top style="medium">
        <color rgb="FF1F4E78"/>
      </top>
      <bottom style="medium">
        <color rgb="FF1F4E78"/>
      </bottom>
      <diagonal/>
    </border>
  </borders>
  <cellStyleXfs count="1">
    <xf numFmtId="0" fontId="0" fillId="0" borderId="0"/>
  </cellStyleXfs>
  <cellXfs count="41">
    <xf numFmtId="0" fontId="0" fillId="0" borderId="0" xfId="0"/>
    <xf numFmtId="0" fontId="2" fillId="0" borderId="0" xfId="0" applyFont="1"/>
    <xf numFmtId="0" fontId="3" fillId="3" borderId="1" xfId="0" applyFont="1" applyFill="1" applyBorder="1" applyAlignment="1">
      <alignment horizontal="center" vertical="center" wrapText="1"/>
    </xf>
    <xf numFmtId="0" fontId="4" fillId="4" borderId="1" xfId="0" applyFont="1" applyFill="1" applyBorder="1" applyAlignment="1">
      <alignment horizontal="center"/>
    </xf>
    <xf numFmtId="0" fontId="4" fillId="4" borderId="1" xfId="0" applyFont="1" applyFill="1" applyBorder="1" applyAlignment="1">
      <alignment horizontal="left"/>
    </xf>
    <xf numFmtId="164" fontId="4" fillId="4" borderId="1" xfId="0" applyNumberFormat="1" applyFont="1" applyFill="1" applyBorder="1" applyAlignment="1">
      <alignment horizontal="right"/>
    </xf>
    <xf numFmtId="2" fontId="4" fillId="4" borderId="1" xfId="0" applyNumberFormat="1" applyFont="1" applyFill="1" applyBorder="1" applyAlignment="1">
      <alignment horizontal="right"/>
    </xf>
    <xf numFmtId="0" fontId="4" fillId="0" borderId="1" xfId="0" applyFont="1" applyBorder="1" applyAlignment="1">
      <alignment horizontal="center"/>
    </xf>
    <xf numFmtId="0" fontId="4" fillId="0" borderId="1" xfId="0" applyFont="1" applyBorder="1" applyAlignment="1">
      <alignment horizontal="left"/>
    </xf>
    <xf numFmtId="164" fontId="4" fillId="0" borderId="1" xfId="0" applyNumberFormat="1" applyFont="1" applyBorder="1" applyAlignment="1">
      <alignment horizontal="right"/>
    </xf>
    <xf numFmtId="2" fontId="4" fillId="0" borderId="1" xfId="0" applyNumberFormat="1" applyFont="1" applyBorder="1" applyAlignment="1">
      <alignment horizontal="right"/>
    </xf>
    <xf numFmtId="0" fontId="5" fillId="0" borderId="0" xfId="0" applyFont="1" applyAlignment="1">
      <alignment horizontal="right" vertical="center"/>
    </xf>
    <xf numFmtId="0" fontId="6" fillId="5" borderId="2" xfId="0" applyFont="1" applyFill="1" applyBorder="1" applyAlignment="1">
      <alignment horizontal="center" vertical="center"/>
    </xf>
    <xf numFmtId="0" fontId="2" fillId="0" borderId="0" xfId="0" applyFont="1" applyAlignment="1">
      <alignment vertical="center"/>
    </xf>
    <xf numFmtId="0" fontId="8" fillId="7" borderId="1" xfId="0" applyFont="1" applyFill="1" applyBorder="1" applyAlignment="1">
      <alignment horizontal="right"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0" fillId="0" borderId="1" xfId="0" applyBorder="1"/>
    <xf numFmtId="0" fontId="8" fillId="7" borderId="1" xfId="0" applyFont="1" applyFill="1" applyBorder="1"/>
    <xf numFmtId="0" fontId="5" fillId="0" borderId="1" xfId="0" applyFont="1" applyBorder="1"/>
    <xf numFmtId="0" fontId="4" fillId="0" borderId="1" xfId="0" applyFont="1" applyBorder="1"/>
    <xf numFmtId="0" fontId="1" fillId="2" borderId="0" xfId="0" applyFont="1" applyFill="1" applyAlignment="1">
      <alignment horizontal="center" vertical="center"/>
    </xf>
    <xf numFmtId="0" fontId="0" fillId="0" borderId="0" xfId="0"/>
    <xf numFmtId="0" fontId="9" fillId="3" borderId="0" xfId="0" applyFont="1" applyFill="1" applyAlignment="1">
      <alignment horizontal="center" vertical="center"/>
    </xf>
    <xf numFmtId="0" fontId="5" fillId="0" borderId="1" xfId="0" applyFont="1" applyBorder="1" applyAlignment="1">
      <alignment horizontal="left" vertical="center"/>
    </xf>
    <xf numFmtId="0" fontId="0" fillId="0" borderId="1" xfId="0" applyBorder="1"/>
    <xf numFmtId="0" fontId="2" fillId="0" borderId="1" xfId="0" applyFont="1" applyBorder="1" applyAlignment="1">
      <alignment horizontal="left" vertical="center"/>
    </xf>
    <xf numFmtId="0" fontId="8" fillId="7"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7" fillId="6" borderId="2" xfId="0" applyFont="1" applyFill="1" applyBorder="1" applyAlignment="1">
      <alignment horizontal="center" vertical="center" wrapText="1"/>
    </xf>
    <xf numFmtId="0" fontId="0" fillId="0" borderId="2" xfId="0" applyBorder="1"/>
    <xf numFmtId="0" fontId="3" fillId="3" borderId="1" xfId="0" applyFont="1" applyFill="1" applyBorder="1" applyAlignment="1">
      <alignment horizontal="left" vertical="center" indent="1"/>
    </xf>
    <xf numFmtId="0" fontId="4" fillId="0" borderId="1" xfId="0" applyFont="1" applyBorder="1"/>
    <xf numFmtId="0" fontId="5" fillId="0" borderId="1" xfId="0" applyFont="1" applyBorder="1"/>
    <xf numFmtId="0" fontId="11" fillId="6" borderId="1" xfId="0" applyFont="1" applyFill="1" applyBorder="1" applyAlignment="1">
      <alignment horizontal="center" vertical="center" wrapText="1"/>
    </xf>
    <xf numFmtId="0" fontId="2" fillId="0" borderId="0" xfId="0" applyFont="1" applyAlignment="1">
      <alignment horizontal="center" vertical="center"/>
    </xf>
    <xf numFmtId="0" fontId="9" fillId="3" borderId="0" xfId="0" applyFont="1" applyFill="1" applyAlignment="1">
      <alignment horizontal="left" vertical="center" indent="1"/>
    </xf>
    <xf numFmtId="0" fontId="4" fillId="0" borderId="0" xfId="0" applyFont="1" applyAlignment="1">
      <alignment horizontal="left" vertical="center" indent="2"/>
    </xf>
    <xf numFmtId="0" fontId="12" fillId="10" borderId="1" xfId="0" applyFont="1" applyFill="1" applyBorder="1" applyAlignment="1">
      <alignment horizontal="left" vertical="top" wrapText="1"/>
    </xf>
    <xf numFmtId="0" fontId="9" fillId="9" borderId="0" xfId="0" applyFont="1" applyFill="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
  <sheetViews>
    <sheetView topLeftCell="G1" workbookViewId="0">
      <selection activeCell="P5" sqref="P5"/>
    </sheetView>
  </sheetViews>
  <sheetFormatPr baseColWidth="10" defaultColWidth="9.140625" defaultRowHeight="15" x14ac:dyDescent="0.25"/>
  <cols>
    <col min="1" max="2" width="14" customWidth="1"/>
    <col min="3" max="4" width="18" customWidth="1"/>
    <col min="5" max="5" width="15" customWidth="1"/>
    <col min="6" max="6" width="14" customWidth="1"/>
    <col min="7" max="7" width="10" customWidth="1"/>
    <col min="8" max="9" width="12" customWidth="1"/>
    <col min="10" max="10" width="10" customWidth="1"/>
    <col min="11" max="11" width="32" customWidth="1"/>
    <col min="12" max="12" width="22" customWidth="1"/>
    <col min="13" max="13" width="14" customWidth="1"/>
    <col min="14" max="15" width="16" customWidth="1"/>
    <col min="16" max="16" width="20" customWidth="1"/>
    <col min="17" max="17" width="12" customWidth="1"/>
  </cols>
  <sheetData>
    <row r="1" spans="1:17" x14ac:dyDescent="0.25">
      <c r="A1" s="21" t="s">
        <v>0</v>
      </c>
      <c r="B1" s="22"/>
      <c r="C1" s="22"/>
      <c r="D1" s="22"/>
      <c r="E1" s="22"/>
      <c r="F1" s="22"/>
      <c r="G1" s="22"/>
      <c r="H1" s="22"/>
      <c r="I1" s="22"/>
      <c r="J1" s="22"/>
      <c r="K1" s="22"/>
      <c r="L1" s="22"/>
      <c r="M1" s="22"/>
      <c r="N1" s="22"/>
      <c r="O1" s="22"/>
      <c r="P1" s="22"/>
      <c r="Q1" s="22"/>
    </row>
    <row r="2" spans="1:17" x14ac:dyDescent="0.25">
      <c r="A2" s="22"/>
      <c r="B2" s="22"/>
      <c r="C2" s="22"/>
      <c r="D2" s="22"/>
      <c r="E2" s="22"/>
      <c r="F2" s="22"/>
      <c r="G2" s="22"/>
      <c r="H2" s="22"/>
      <c r="I2" s="22"/>
      <c r="J2" s="22"/>
      <c r="K2" s="22"/>
      <c r="L2" s="22"/>
      <c r="M2" s="22"/>
      <c r="N2" s="22"/>
      <c r="O2" s="22"/>
      <c r="P2" s="22"/>
      <c r="Q2" s="22"/>
    </row>
    <row r="3" spans="1:17" x14ac:dyDescent="0.25">
      <c r="A3" s="1" t="s">
        <v>1</v>
      </c>
    </row>
    <row r="4" spans="1:17" ht="27.95" customHeight="1" x14ac:dyDescent="0.25">
      <c r="A4" s="2" t="s">
        <v>2</v>
      </c>
      <c r="B4" s="2" t="s">
        <v>3</v>
      </c>
      <c r="C4" s="2" t="s">
        <v>4</v>
      </c>
      <c r="D4" s="2" t="s">
        <v>5</v>
      </c>
      <c r="E4" s="2" t="s">
        <v>6</v>
      </c>
      <c r="F4" s="2" t="s">
        <v>7</v>
      </c>
      <c r="G4" s="2" t="s">
        <v>8</v>
      </c>
      <c r="H4" s="2" t="s">
        <v>9</v>
      </c>
      <c r="I4" s="2" t="s">
        <v>10</v>
      </c>
      <c r="J4" s="2" t="s">
        <v>11</v>
      </c>
      <c r="K4" s="2" t="s">
        <v>12</v>
      </c>
      <c r="L4" s="2" t="s">
        <v>13</v>
      </c>
      <c r="M4" s="2" t="s">
        <v>14</v>
      </c>
      <c r="N4" s="2" t="s">
        <v>15</v>
      </c>
      <c r="O4" s="2" t="s">
        <v>16</v>
      </c>
      <c r="P4" s="2" t="s">
        <v>17</v>
      </c>
      <c r="Q4" s="2" t="s">
        <v>18</v>
      </c>
    </row>
    <row r="5" spans="1:17" x14ac:dyDescent="0.25">
      <c r="A5" s="3" t="s">
        <v>19</v>
      </c>
      <c r="B5" s="3" t="s">
        <v>20</v>
      </c>
      <c r="C5" s="4" t="s">
        <v>21</v>
      </c>
      <c r="D5" s="4" t="s">
        <v>22</v>
      </c>
      <c r="E5" s="3" t="s">
        <v>23</v>
      </c>
      <c r="F5" s="3" t="s">
        <v>24</v>
      </c>
      <c r="G5" s="3">
        <f t="shared" ref="G5:G12" ca="1" si="0">IF(F5&lt;&gt;"",INT((TODAY()-F5)/365.25),"")</f>
        <v>18</v>
      </c>
      <c r="H5" s="5">
        <v>68.5</v>
      </c>
      <c r="I5" s="6">
        <v>1.75</v>
      </c>
      <c r="J5" s="5">
        <f t="shared" ref="J5:J12" si="1">IF(AND(H5&gt;0,I5&gt;0),ROUND(H5/(I5^2),1),"")</f>
        <v>22.4</v>
      </c>
      <c r="K5" s="4" t="s">
        <v>25</v>
      </c>
      <c r="L5" s="4" t="s">
        <v>26</v>
      </c>
      <c r="M5" s="3" t="s">
        <v>27</v>
      </c>
      <c r="N5" s="3" t="s">
        <v>28</v>
      </c>
      <c r="O5" s="3" t="s">
        <v>29</v>
      </c>
      <c r="P5" s="4" t="s">
        <v>30</v>
      </c>
      <c r="Q5" s="3" t="s">
        <v>31</v>
      </c>
    </row>
    <row r="6" spans="1:17" x14ac:dyDescent="0.25">
      <c r="A6" s="7" t="s">
        <v>32</v>
      </c>
      <c r="B6" s="7" t="s">
        <v>33</v>
      </c>
      <c r="C6" s="8" t="s">
        <v>34</v>
      </c>
      <c r="D6" s="8" t="s">
        <v>35</v>
      </c>
      <c r="E6" s="7" t="s">
        <v>36</v>
      </c>
      <c r="F6" s="7" t="s">
        <v>37</v>
      </c>
      <c r="G6" s="7">
        <f t="shared" ca="1" si="0"/>
        <v>17</v>
      </c>
      <c r="H6" s="9">
        <v>54</v>
      </c>
      <c r="I6" s="10">
        <v>1.62</v>
      </c>
      <c r="J6" s="9">
        <f t="shared" si="1"/>
        <v>20.6</v>
      </c>
      <c r="K6" s="8" t="s">
        <v>38</v>
      </c>
      <c r="L6" s="8" t="s">
        <v>39</v>
      </c>
      <c r="M6" s="7" t="s">
        <v>40</v>
      </c>
      <c r="N6" s="7" t="s">
        <v>41</v>
      </c>
      <c r="O6" s="7" t="s">
        <v>42</v>
      </c>
      <c r="P6" s="8" t="s">
        <v>43</v>
      </c>
      <c r="Q6" s="7" t="s">
        <v>31</v>
      </c>
    </row>
    <row r="7" spans="1:17" x14ac:dyDescent="0.25">
      <c r="A7" s="3" t="s">
        <v>44</v>
      </c>
      <c r="B7" s="3" t="s">
        <v>45</v>
      </c>
      <c r="C7" s="4" t="s">
        <v>46</v>
      </c>
      <c r="D7" s="4" t="s">
        <v>47</v>
      </c>
      <c r="E7" s="3" t="s">
        <v>48</v>
      </c>
      <c r="F7" s="3" t="s">
        <v>49</v>
      </c>
      <c r="G7" s="3">
        <f t="shared" ca="1" si="0"/>
        <v>18</v>
      </c>
      <c r="H7" s="5">
        <v>72</v>
      </c>
      <c r="I7" s="6">
        <v>1.82</v>
      </c>
      <c r="J7" s="5">
        <f t="shared" si="1"/>
        <v>21.7</v>
      </c>
      <c r="K7" s="4" t="s">
        <v>50</v>
      </c>
      <c r="L7" s="4" t="s">
        <v>51</v>
      </c>
      <c r="M7" s="3" t="s">
        <v>27</v>
      </c>
      <c r="N7" s="3" t="s">
        <v>52</v>
      </c>
      <c r="O7" s="3" t="s">
        <v>53</v>
      </c>
      <c r="P7" s="4" t="s">
        <v>54</v>
      </c>
      <c r="Q7" s="3" t="s">
        <v>31</v>
      </c>
    </row>
    <row r="8" spans="1:17" x14ac:dyDescent="0.25">
      <c r="A8" s="7" t="s">
        <v>55</v>
      </c>
      <c r="B8" s="7" t="s">
        <v>56</v>
      </c>
      <c r="C8" s="8" t="s">
        <v>57</v>
      </c>
      <c r="D8" s="8" t="s">
        <v>58</v>
      </c>
      <c r="E8" s="7" t="s">
        <v>59</v>
      </c>
      <c r="F8" s="7" t="s">
        <v>60</v>
      </c>
      <c r="G8" s="7">
        <f t="shared" ca="1" si="0"/>
        <v>16</v>
      </c>
      <c r="H8" s="9">
        <v>48</v>
      </c>
      <c r="I8" s="10">
        <v>1.58</v>
      </c>
      <c r="J8" s="9">
        <f t="shared" si="1"/>
        <v>19.2</v>
      </c>
      <c r="K8" s="8" t="s">
        <v>61</v>
      </c>
      <c r="L8" s="8" t="s">
        <v>62</v>
      </c>
      <c r="M8" s="7" t="s">
        <v>40</v>
      </c>
      <c r="N8" s="7" t="s">
        <v>63</v>
      </c>
      <c r="O8" s="7" t="s">
        <v>64</v>
      </c>
      <c r="P8" s="8" t="s">
        <v>65</v>
      </c>
      <c r="Q8" s="7" t="s">
        <v>31</v>
      </c>
    </row>
    <row r="9" spans="1:17" x14ac:dyDescent="0.25">
      <c r="A9" s="3" t="s">
        <v>66</v>
      </c>
      <c r="B9" s="3" t="s">
        <v>67</v>
      </c>
      <c r="C9" s="4" t="s">
        <v>68</v>
      </c>
      <c r="D9" s="4" t="s">
        <v>69</v>
      </c>
      <c r="E9" s="3" t="s">
        <v>70</v>
      </c>
      <c r="F9" s="3" t="s">
        <v>71</v>
      </c>
      <c r="G9" s="3">
        <f t="shared" ca="1" si="0"/>
        <v>17</v>
      </c>
      <c r="H9" s="5">
        <v>70</v>
      </c>
      <c r="I9" s="6">
        <v>1.78</v>
      </c>
      <c r="J9" s="5">
        <f t="shared" si="1"/>
        <v>22.1</v>
      </c>
      <c r="K9" s="4" t="s">
        <v>72</v>
      </c>
      <c r="L9" s="4" t="s">
        <v>73</v>
      </c>
      <c r="M9" s="3" t="s">
        <v>27</v>
      </c>
      <c r="N9" s="3" t="s">
        <v>74</v>
      </c>
      <c r="O9" s="3" t="s">
        <v>75</v>
      </c>
      <c r="P9" s="4" t="s">
        <v>76</v>
      </c>
      <c r="Q9" s="3" t="s">
        <v>31</v>
      </c>
    </row>
    <row r="10" spans="1:17" x14ac:dyDescent="0.25">
      <c r="A10" s="7" t="s">
        <v>77</v>
      </c>
      <c r="B10" s="7" t="s">
        <v>78</v>
      </c>
      <c r="C10" s="8" t="s">
        <v>79</v>
      </c>
      <c r="D10" s="8" t="s">
        <v>80</v>
      </c>
      <c r="E10" s="7" t="s">
        <v>81</v>
      </c>
      <c r="F10" s="7" t="s">
        <v>82</v>
      </c>
      <c r="G10" s="7">
        <f t="shared" ca="1" si="0"/>
        <v>16</v>
      </c>
      <c r="H10" s="9">
        <v>56.5</v>
      </c>
      <c r="I10" s="10">
        <v>1.65</v>
      </c>
      <c r="J10" s="9">
        <f t="shared" si="1"/>
        <v>20.8</v>
      </c>
      <c r="K10" s="8" t="s">
        <v>25</v>
      </c>
      <c r="L10" s="8" t="s">
        <v>83</v>
      </c>
      <c r="M10" s="7" t="s">
        <v>40</v>
      </c>
      <c r="N10" s="7" t="s">
        <v>84</v>
      </c>
      <c r="O10" s="7" t="s">
        <v>85</v>
      </c>
      <c r="P10" s="8" t="s">
        <v>86</v>
      </c>
      <c r="Q10" s="7" t="s">
        <v>31</v>
      </c>
    </row>
    <row r="11" spans="1:17" x14ac:dyDescent="0.25">
      <c r="A11" s="3" t="s">
        <v>87</v>
      </c>
      <c r="B11" s="3" t="s">
        <v>88</v>
      </c>
      <c r="C11" s="4" t="s">
        <v>89</v>
      </c>
      <c r="D11" s="4" t="s">
        <v>90</v>
      </c>
      <c r="E11" s="3" t="s">
        <v>91</v>
      </c>
      <c r="F11" s="3" t="s">
        <v>92</v>
      </c>
      <c r="G11" s="3">
        <f t="shared" ca="1" si="0"/>
        <v>19</v>
      </c>
      <c r="H11" s="5">
        <v>75</v>
      </c>
      <c r="I11" s="6">
        <v>1.85</v>
      </c>
      <c r="J11" s="5">
        <f t="shared" si="1"/>
        <v>21.9</v>
      </c>
      <c r="K11" s="4" t="s">
        <v>93</v>
      </c>
      <c r="L11" s="4" t="s">
        <v>94</v>
      </c>
      <c r="M11" s="3" t="s">
        <v>27</v>
      </c>
      <c r="N11" s="3" t="s">
        <v>95</v>
      </c>
      <c r="O11" s="3" t="s">
        <v>96</v>
      </c>
      <c r="P11" s="4" t="s">
        <v>97</v>
      </c>
      <c r="Q11" s="3" t="s">
        <v>31</v>
      </c>
    </row>
    <row r="12" spans="1:17" x14ac:dyDescent="0.25">
      <c r="A12" s="7" t="s">
        <v>98</v>
      </c>
      <c r="B12" s="7" t="s">
        <v>99</v>
      </c>
      <c r="C12" s="8" t="s">
        <v>100</v>
      </c>
      <c r="D12" s="8" t="s">
        <v>101</v>
      </c>
      <c r="E12" s="7" t="s">
        <v>102</v>
      </c>
      <c r="F12" s="7" t="s">
        <v>103</v>
      </c>
      <c r="G12" s="7">
        <f t="shared" ca="1" si="0"/>
        <v>16</v>
      </c>
      <c r="H12" s="9">
        <v>50</v>
      </c>
      <c r="I12" s="10">
        <v>1.6</v>
      </c>
      <c r="J12" s="9">
        <f t="shared" si="1"/>
        <v>19.5</v>
      </c>
      <c r="K12" s="8" t="s">
        <v>25</v>
      </c>
      <c r="L12" s="8" t="s">
        <v>104</v>
      </c>
      <c r="M12" s="7" t="s">
        <v>40</v>
      </c>
      <c r="N12" s="7" t="s">
        <v>105</v>
      </c>
      <c r="O12" s="7" t="s">
        <v>106</v>
      </c>
      <c r="P12" s="8" t="s">
        <v>107</v>
      </c>
      <c r="Q12" s="7" t="s">
        <v>31</v>
      </c>
    </row>
  </sheetData>
  <mergeCells count="1">
    <mergeCell ref="A1:Q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27"/>
  <sheetViews>
    <sheetView workbookViewId="0">
      <selection activeCell="F24" sqref="F24:G24"/>
    </sheetView>
  </sheetViews>
  <sheetFormatPr baseColWidth="10" defaultColWidth="9.140625" defaultRowHeight="15" x14ac:dyDescent="0.25"/>
  <cols>
    <col min="1" max="1" width="10.140625" customWidth="1"/>
    <col min="2" max="2" width="16" customWidth="1"/>
    <col min="3" max="3" width="18" customWidth="1"/>
    <col min="4" max="4" width="22" customWidth="1"/>
    <col min="5" max="5" width="24" customWidth="1"/>
    <col min="6" max="6" width="22" customWidth="1"/>
    <col min="7" max="7" width="24" customWidth="1"/>
    <col min="8" max="8" width="4" customWidth="1"/>
  </cols>
  <sheetData>
    <row r="1" spans="2:7" x14ac:dyDescent="0.25">
      <c r="B1" s="21" t="s">
        <v>108</v>
      </c>
      <c r="C1" s="22"/>
      <c r="D1" s="22"/>
      <c r="E1" s="22"/>
      <c r="F1" s="22"/>
      <c r="G1" s="22"/>
    </row>
    <row r="2" spans="2:7" x14ac:dyDescent="0.25">
      <c r="B2" s="22"/>
      <c r="C2" s="22"/>
      <c r="D2" s="22"/>
      <c r="E2" s="22"/>
      <c r="F2" s="22"/>
      <c r="G2" s="22"/>
    </row>
    <row r="4" spans="2:7" ht="15.75" x14ac:dyDescent="0.25">
      <c r="B4" s="11" t="s">
        <v>109</v>
      </c>
      <c r="C4" s="12" t="s">
        <v>19</v>
      </c>
      <c r="D4" s="13" t="s">
        <v>110</v>
      </c>
    </row>
    <row r="6" spans="2:7" x14ac:dyDescent="0.25">
      <c r="B6" s="30" t="s">
        <v>111</v>
      </c>
      <c r="C6" s="31"/>
      <c r="D6" s="14" t="s">
        <v>112</v>
      </c>
      <c r="E6" s="15" t="str">
        <f>IFERROR(VLOOKUP(C4,Base_de_Datos!A5:Q100,1,FALSE)," ")</f>
        <v>ATL-001</v>
      </c>
      <c r="F6" s="14" t="s">
        <v>113</v>
      </c>
      <c r="G6" s="15" t="str">
        <f>IFERROR(VLOOKUP(C4,Base_de_Datos!A5:Q100,17,FALSE)," ")</f>
        <v>Activo</v>
      </c>
    </row>
    <row r="7" spans="2:7" x14ac:dyDescent="0.25">
      <c r="B7" s="31"/>
      <c r="C7" s="31"/>
      <c r="D7" s="14" t="s">
        <v>114</v>
      </c>
      <c r="E7" s="15" t="str">
        <f>IFERROR(VLOOKUP(C4,Base_de_Datos!A5:Q100,3,FALSE)," ")</f>
        <v>Carlos Eduardo</v>
      </c>
      <c r="F7" s="14" t="s">
        <v>115</v>
      </c>
      <c r="G7" s="15" t="str">
        <f>IFERROR(VLOOKUP(C4,Base_de_Datos!A5:Q100,4,FALSE)," ")</f>
        <v>Mendoza Pérez</v>
      </c>
    </row>
    <row r="8" spans="2:7" x14ac:dyDescent="0.25">
      <c r="B8" s="31"/>
      <c r="C8" s="31"/>
      <c r="D8" s="14" t="s">
        <v>116</v>
      </c>
      <c r="E8" s="15" t="str">
        <f>IFERROR(VLOOKUP(C4,Base_de_Datos!A5:Q100,5,FALSE)," ")</f>
        <v>V-30.123.456</v>
      </c>
      <c r="F8" s="14" t="s">
        <v>117</v>
      </c>
      <c r="G8" s="15" t="str">
        <f>IFERROR(VLOOKUP(C4,Base_de_Datos!A5:Q100,2,FALSE)," ")</f>
        <v>2025-01-15</v>
      </c>
    </row>
    <row r="9" spans="2:7" x14ac:dyDescent="0.25">
      <c r="B9" s="31"/>
      <c r="C9" s="31"/>
      <c r="D9" s="14" t="s">
        <v>118</v>
      </c>
      <c r="E9" s="15" t="str">
        <f>IFERROR(VLOOKUP(C4,Base_de_Datos!A5:Q100,6,FALSE)," ")</f>
        <v>2008-05-12</v>
      </c>
      <c r="F9" s="14" t="s">
        <v>119</v>
      </c>
      <c r="G9" s="15" t="str">
        <f ca="1">IFERROR(VLOOKUP(C4,Base_de_Datos!A5:Q100,7,FALSE)&amp;" años"," ")</f>
        <v>18 años</v>
      </c>
    </row>
    <row r="10" spans="2:7" x14ac:dyDescent="0.25">
      <c r="B10" s="31"/>
      <c r="C10" s="31"/>
    </row>
    <row r="11" spans="2:7" x14ac:dyDescent="0.25">
      <c r="B11" s="31"/>
      <c r="C11" s="31"/>
    </row>
    <row r="12" spans="2:7" x14ac:dyDescent="0.25">
      <c r="B12" s="31"/>
      <c r="C12" s="31"/>
    </row>
    <row r="14" spans="2:7" ht="15.75" x14ac:dyDescent="0.25">
      <c r="B14" s="23" t="s">
        <v>120</v>
      </c>
      <c r="C14" s="22"/>
      <c r="D14" s="22"/>
      <c r="E14" s="22"/>
      <c r="F14" s="22"/>
      <c r="G14" s="22"/>
    </row>
    <row r="15" spans="2:7" x14ac:dyDescent="0.25">
      <c r="B15" s="14" t="s">
        <v>121</v>
      </c>
      <c r="C15" s="16">
        <f>IFERROR(VLOOKUP(C4,Base_de_Datos!A5:Q100,8,FALSE)," ")</f>
        <v>68.5</v>
      </c>
      <c r="D15" s="14" t="s">
        <v>122</v>
      </c>
      <c r="E15" s="16">
        <f>IFERROR(VLOOKUP(C4,Base_de_Datos!A5:Q100,9,FALSE)," ")</f>
        <v>1.75</v>
      </c>
      <c r="F15" s="14" t="s">
        <v>123</v>
      </c>
      <c r="G15" s="16">
        <f>IFERROR(VLOOKUP(C4,Base_de_Datos!A5:Q100,10,FALSE)," ")</f>
        <v>22.4</v>
      </c>
    </row>
    <row r="16" spans="2:7" x14ac:dyDescent="0.25">
      <c r="B16" s="27" t="s">
        <v>124</v>
      </c>
      <c r="C16" s="25"/>
      <c r="D16" s="29" t="str">
        <f>IFERROR(VLOOKUP(C4,Base_de_Datos!A5:Q100,11,FALSE)," ")</f>
        <v>Sin novedades médicas</v>
      </c>
      <c r="E16" s="25"/>
      <c r="F16" s="25"/>
      <c r="G16" s="25"/>
    </row>
    <row r="17" spans="2:7" x14ac:dyDescent="0.25">
      <c r="B17" s="25"/>
      <c r="C17" s="25"/>
      <c r="D17" s="25"/>
      <c r="E17" s="25"/>
      <c r="F17" s="25"/>
      <c r="G17" s="25"/>
    </row>
    <row r="19" spans="2:7" ht="15.75" x14ac:dyDescent="0.25">
      <c r="B19" s="23" t="s">
        <v>125</v>
      </c>
      <c r="C19" s="22"/>
      <c r="D19" s="22"/>
      <c r="E19" s="22"/>
      <c r="F19" s="22"/>
      <c r="G19" s="22"/>
    </row>
    <row r="20" spans="2:7" x14ac:dyDescent="0.25">
      <c r="B20" s="14" t="s">
        <v>126</v>
      </c>
      <c r="C20" s="24" t="str">
        <f>IFERROR(VLOOKUP(C4,Base_de_Datos!A5:Q100,12,FALSE)," ")</f>
        <v>Roberto Mendoza</v>
      </c>
      <c r="D20" s="25"/>
      <c r="E20" s="14" t="s">
        <v>127</v>
      </c>
      <c r="F20" s="24" t="str">
        <f>IFERROR(VLOOKUP(C4,Base_de_Datos!A5:Q100,13,FALSE)," ")</f>
        <v>Padre</v>
      </c>
      <c r="G20" s="25"/>
    </row>
    <row r="21" spans="2:7" x14ac:dyDescent="0.25">
      <c r="B21" s="14" t="s">
        <v>128</v>
      </c>
      <c r="C21" s="24" t="str">
        <f>IFERROR(VLOOKUP(C4,Base_de_Datos!A5:Q100,14,FALSE)," ")</f>
        <v>0414-1234567</v>
      </c>
      <c r="D21" s="25"/>
      <c r="E21" s="14" t="s">
        <v>129</v>
      </c>
      <c r="F21" s="24" t="str">
        <f>IFERROR(VLOOKUP(C4,Base_de_Datos!A5:Q100,15,FALSE)," ")</f>
        <v>0424-7654321</v>
      </c>
      <c r="G21" s="25"/>
    </row>
    <row r="23" spans="2:7" ht="15.75" x14ac:dyDescent="0.25">
      <c r="B23" s="23" t="s">
        <v>130</v>
      </c>
      <c r="C23" s="22"/>
      <c r="D23" s="22"/>
      <c r="E23" s="22"/>
      <c r="F23" s="22"/>
      <c r="G23" s="22"/>
    </row>
    <row r="24" spans="2:7" x14ac:dyDescent="0.25">
      <c r="B24" s="14" t="s">
        <v>131</v>
      </c>
      <c r="C24" s="24" t="str">
        <f>IFERROR(VLOOKUP(C4,Base_de_Datos!A5:Q100,16,FALSE)," ")</f>
        <v>carlos_mendoza.jpg</v>
      </c>
      <c r="D24" s="25"/>
      <c r="E24" s="14" t="s">
        <v>132</v>
      </c>
      <c r="F24" s="26" t="str">
        <f>"fotos/" &amp; C24</f>
        <v>fotos/carlos_mendoza.jpg</v>
      </c>
      <c r="G24" s="25"/>
    </row>
    <row r="26" spans="2:7" x14ac:dyDescent="0.25">
      <c r="B26" s="28" t="s">
        <v>133</v>
      </c>
      <c r="C26" s="25"/>
      <c r="D26" s="25"/>
      <c r="E26" s="25"/>
      <c r="F26" s="25"/>
      <c r="G26" s="25"/>
    </row>
    <row r="27" spans="2:7" x14ac:dyDescent="0.25">
      <c r="B27" s="25"/>
      <c r="C27" s="25"/>
      <c r="D27" s="25"/>
      <c r="E27" s="25"/>
      <c r="F27" s="25"/>
      <c r="G27" s="25"/>
    </row>
  </sheetData>
  <mergeCells count="14">
    <mergeCell ref="B26:G27"/>
    <mergeCell ref="B23:G23"/>
    <mergeCell ref="F20:G20"/>
    <mergeCell ref="D16:G17"/>
    <mergeCell ref="B6:C12"/>
    <mergeCell ref="B19:G19"/>
    <mergeCell ref="C20:D20"/>
    <mergeCell ref="B1:G2"/>
    <mergeCell ref="F21:G21"/>
    <mergeCell ref="F24:G24"/>
    <mergeCell ref="C21:D21"/>
    <mergeCell ref="B16:C17"/>
    <mergeCell ref="C24:D24"/>
    <mergeCell ref="B14:G14"/>
  </mergeCell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100-000000000000}">
          <x14:formula1>
            <xm:f>Base_de_Datos!$A$5:$A$50</xm:f>
          </x14:formula1>
          <xm:sqref>C4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5"/>
  <sheetViews>
    <sheetView workbookViewId="0">
      <selection sqref="A1:G2"/>
    </sheetView>
  </sheetViews>
  <sheetFormatPr baseColWidth="10" defaultColWidth="9.140625" defaultRowHeight="15" x14ac:dyDescent="0.25"/>
  <cols>
    <col min="1" max="2" width="16" customWidth="1"/>
    <col min="3" max="3" width="20" customWidth="1"/>
    <col min="4" max="4" width="16" customWidth="1"/>
    <col min="5" max="5" width="20" customWidth="1"/>
    <col min="6" max="6" width="14" customWidth="1"/>
    <col min="7" max="7" width="18" customWidth="1"/>
  </cols>
  <sheetData>
    <row r="1" spans="1:7" x14ac:dyDescent="0.25">
      <c r="A1" s="21" t="s">
        <v>134</v>
      </c>
      <c r="B1" s="22"/>
      <c r="C1" s="22"/>
      <c r="D1" s="22"/>
      <c r="E1" s="22"/>
      <c r="F1" s="22"/>
      <c r="G1" s="22"/>
    </row>
    <row r="2" spans="1:7" x14ac:dyDescent="0.25">
      <c r="A2" s="22"/>
      <c r="B2" s="22"/>
      <c r="C2" s="22"/>
      <c r="D2" s="22"/>
      <c r="E2" s="22"/>
      <c r="F2" s="22"/>
      <c r="G2" s="22"/>
    </row>
    <row r="3" spans="1:7" x14ac:dyDescent="0.25">
      <c r="A3" s="1" t="s">
        <v>135</v>
      </c>
    </row>
    <row r="5" spans="1:7" x14ac:dyDescent="0.25">
      <c r="A5" s="32" t="str">
        <f>IF(Base_de_Datos!A5&lt;&gt;"", "FICHA TÉCNICA - " &amp; Base_de_Datos!A5 &amp; ": " &amp; Base_de_Datos!C5 &amp; " " &amp; Base_de_Datos!D5, "")</f>
        <v>FICHA TÉCNICA - ATL-001: Carlos Eduardo Mendoza Pérez</v>
      </c>
      <c r="B5" s="25"/>
      <c r="C5" s="25"/>
      <c r="D5" s="25"/>
      <c r="E5" s="25"/>
      <c r="F5" s="25"/>
      <c r="G5" s="25"/>
    </row>
    <row r="6" spans="1:7" x14ac:dyDescent="0.25">
      <c r="A6" s="35" t="s">
        <v>136</v>
      </c>
      <c r="B6" s="18" t="s">
        <v>137</v>
      </c>
      <c r="C6" s="19" t="str">
        <f>Base_de_Datos!E5</f>
        <v>V-30.123.456</v>
      </c>
      <c r="D6" s="18" t="s">
        <v>138</v>
      </c>
      <c r="E6" s="19" t="str">
        <f>Base_de_Datos!F5</f>
        <v>2008-05-12</v>
      </c>
      <c r="F6" s="18" t="s">
        <v>119</v>
      </c>
      <c r="G6" s="19" t="str">
        <f ca="1">Base_de_Datos!G5 &amp; " años"</f>
        <v>18 años</v>
      </c>
    </row>
    <row r="7" spans="1:7" x14ac:dyDescent="0.25">
      <c r="A7" s="25"/>
      <c r="B7" s="18" t="s">
        <v>139</v>
      </c>
      <c r="C7" s="20" t="str">
        <f>Base_de_Datos!B5</f>
        <v>2025-01-15</v>
      </c>
      <c r="D7" s="18" t="s">
        <v>140</v>
      </c>
      <c r="E7" s="20" t="str">
        <f>Base_de_Datos!H5 &amp; " kg / " &amp; Base_de_Datos!I5 &amp; " m"</f>
        <v>68,5 kg / 1,75 m</v>
      </c>
      <c r="F7" s="18" t="s">
        <v>141</v>
      </c>
      <c r="G7" s="20">
        <f>Base_de_Datos!J5</f>
        <v>22.4</v>
      </c>
    </row>
    <row r="8" spans="1:7" x14ac:dyDescent="0.25">
      <c r="A8" s="25"/>
      <c r="B8" s="18" t="s">
        <v>142</v>
      </c>
      <c r="C8" s="29" t="str">
        <f>Base_de_Datos!K5</f>
        <v>Sin novedades médicas</v>
      </c>
      <c r="D8" s="25"/>
      <c r="E8" s="25"/>
      <c r="F8" s="25"/>
      <c r="G8" s="25"/>
    </row>
    <row r="9" spans="1:7" x14ac:dyDescent="0.25">
      <c r="A9" s="25"/>
      <c r="B9" s="17"/>
      <c r="C9" s="25"/>
      <c r="D9" s="25"/>
      <c r="E9" s="25"/>
      <c r="F9" s="25"/>
      <c r="G9" s="25"/>
    </row>
    <row r="10" spans="1:7" x14ac:dyDescent="0.25">
      <c r="A10" s="25"/>
      <c r="B10" s="18" t="s">
        <v>143</v>
      </c>
      <c r="C10" s="33" t="str">
        <f>Base_de_Datos!L5</f>
        <v>Roberto Mendoza</v>
      </c>
      <c r="D10" s="25"/>
      <c r="E10" s="18" t="s">
        <v>127</v>
      </c>
      <c r="F10" s="33" t="str">
        <f>Base_de_Datos!M5</f>
        <v>Padre</v>
      </c>
      <c r="G10" s="25"/>
    </row>
    <row r="11" spans="1:7" x14ac:dyDescent="0.25">
      <c r="A11" s="25"/>
      <c r="B11" s="18" t="s">
        <v>144</v>
      </c>
      <c r="C11" s="34" t="str">
        <f>Base_de_Datos!N5</f>
        <v>0414-1234567</v>
      </c>
      <c r="D11" s="25"/>
      <c r="E11" s="18" t="s">
        <v>145</v>
      </c>
      <c r="F11" s="34" t="str">
        <f>Base_de_Datos!O5</f>
        <v>0424-7654321</v>
      </c>
      <c r="G11" s="25"/>
    </row>
    <row r="12" spans="1:7" x14ac:dyDescent="0.25">
      <c r="A12" s="36" t="s">
        <v>146</v>
      </c>
      <c r="B12" s="22"/>
      <c r="C12" s="22"/>
      <c r="D12" s="22"/>
      <c r="E12" s="22"/>
      <c r="F12" s="22"/>
      <c r="G12" s="22"/>
    </row>
    <row r="14" spans="1:7" x14ac:dyDescent="0.25">
      <c r="A14" s="32" t="str">
        <f>IF(Base_de_Datos!A6&lt;&gt;"", "FICHA TÉCNICA - " &amp; Base_de_Datos!A6 &amp; ": " &amp; Base_de_Datos!C6 &amp; " " &amp; Base_de_Datos!D6, "")</f>
        <v>FICHA TÉCNICA - ATL-002: Sofía Valentina Gómez Rivas</v>
      </c>
      <c r="B14" s="25"/>
      <c r="C14" s="25"/>
      <c r="D14" s="25"/>
      <c r="E14" s="25"/>
      <c r="F14" s="25"/>
      <c r="G14" s="25"/>
    </row>
    <row r="15" spans="1:7" x14ac:dyDescent="0.25">
      <c r="A15" s="35" t="s">
        <v>136</v>
      </c>
      <c r="B15" s="18" t="s">
        <v>137</v>
      </c>
      <c r="C15" s="19" t="str">
        <f>Base_de_Datos!E6</f>
        <v>V-31.456.789</v>
      </c>
      <c r="D15" s="18" t="s">
        <v>138</v>
      </c>
      <c r="E15" s="19" t="str">
        <f>Base_de_Datos!F6</f>
        <v>2009-08-24</v>
      </c>
      <c r="F15" s="18" t="s">
        <v>119</v>
      </c>
      <c r="G15" s="19" t="str">
        <f ca="1">Base_de_Datos!G6 &amp; " años"</f>
        <v>17 años</v>
      </c>
    </row>
    <row r="16" spans="1:7" x14ac:dyDescent="0.25">
      <c r="A16" s="25"/>
      <c r="B16" s="18" t="s">
        <v>139</v>
      </c>
      <c r="C16" s="20" t="str">
        <f>Base_de_Datos!B6</f>
        <v>2025-01-20</v>
      </c>
      <c r="D16" s="18" t="s">
        <v>140</v>
      </c>
      <c r="E16" s="20" t="str">
        <f>Base_de_Datos!H6 &amp; " kg / " &amp; Base_de_Datos!I6 &amp; " m"</f>
        <v>54 kg / 1,62 m</v>
      </c>
      <c r="F16" s="18" t="s">
        <v>141</v>
      </c>
      <c r="G16" s="20">
        <f>Base_de_Datos!J6</f>
        <v>20.6</v>
      </c>
    </row>
    <row r="17" spans="1:7" x14ac:dyDescent="0.25">
      <c r="A17" s="25"/>
      <c r="B17" s="18" t="s">
        <v>142</v>
      </c>
      <c r="C17" s="29" t="str">
        <f>Base_de_Datos!K6</f>
        <v>Alergia a la Penicilina</v>
      </c>
      <c r="D17" s="25"/>
      <c r="E17" s="25"/>
      <c r="F17" s="25"/>
      <c r="G17" s="25"/>
    </row>
    <row r="18" spans="1:7" x14ac:dyDescent="0.25">
      <c r="A18" s="25"/>
      <c r="B18" s="17"/>
      <c r="C18" s="25"/>
      <c r="D18" s="25"/>
      <c r="E18" s="25"/>
      <c r="F18" s="25"/>
      <c r="G18" s="25"/>
    </row>
    <row r="19" spans="1:7" x14ac:dyDescent="0.25">
      <c r="A19" s="25"/>
      <c r="B19" s="18" t="s">
        <v>143</v>
      </c>
      <c r="C19" s="33" t="str">
        <f>Base_de_Datos!L6</f>
        <v>Elena Rivas</v>
      </c>
      <c r="D19" s="25"/>
      <c r="E19" s="18" t="s">
        <v>127</v>
      </c>
      <c r="F19" s="33" t="str">
        <f>Base_de_Datos!M6</f>
        <v>Madre</v>
      </c>
      <c r="G19" s="25"/>
    </row>
    <row r="20" spans="1:7" x14ac:dyDescent="0.25">
      <c r="A20" s="25"/>
      <c r="B20" s="18" t="s">
        <v>144</v>
      </c>
      <c r="C20" s="34" t="str">
        <f>Base_de_Datos!N6</f>
        <v>0412-9876543</v>
      </c>
      <c r="D20" s="25"/>
      <c r="E20" s="18" t="s">
        <v>145</v>
      </c>
      <c r="F20" s="34" t="str">
        <f>Base_de_Datos!O6</f>
        <v>0416-5554433</v>
      </c>
      <c r="G20" s="25"/>
    </row>
    <row r="21" spans="1:7" x14ac:dyDescent="0.25">
      <c r="A21" s="36" t="s">
        <v>146</v>
      </c>
      <c r="B21" s="22"/>
      <c r="C21" s="22"/>
      <c r="D21" s="22"/>
      <c r="E21" s="22"/>
      <c r="F21" s="22"/>
      <c r="G21" s="22"/>
    </row>
    <row r="23" spans="1:7" x14ac:dyDescent="0.25">
      <c r="A23" s="32" t="str">
        <f>IF(Base_de_Datos!A7&lt;&gt;"", "FICHA TÉCNICA - " &amp; Base_de_Datos!A7 &amp; ": " &amp; Base_de_Datos!C7 &amp; " " &amp; Base_de_Datos!D7, "")</f>
        <v>FICHA TÉCNICA - ATL-003: Erick José Lambert Silva</v>
      </c>
      <c r="B23" s="25"/>
      <c r="C23" s="25"/>
      <c r="D23" s="25"/>
      <c r="E23" s="25"/>
      <c r="F23" s="25"/>
      <c r="G23" s="25"/>
    </row>
    <row r="24" spans="1:7" x14ac:dyDescent="0.25">
      <c r="A24" s="35" t="s">
        <v>136</v>
      </c>
      <c r="B24" s="18" t="s">
        <v>137</v>
      </c>
      <c r="C24" s="19" t="str">
        <f>Base_de_Datos!E7</f>
        <v>V-29.876.543</v>
      </c>
      <c r="D24" s="18" t="s">
        <v>138</v>
      </c>
      <c r="E24" s="19" t="str">
        <f>Base_de_Datos!F7</f>
        <v>2007-11-03</v>
      </c>
      <c r="F24" s="18" t="s">
        <v>119</v>
      </c>
      <c r="G24" s="19" t="str">
        <f ca="1">Base_de_Datos!G7 &amp; " años"</f>
        <v>18 años</v>
      </c>
    </row>
    <row r="25" spans="1:7" x14ac:dyDescent="0.25">
      <c r="A25" s="25"/>
      <c r="B25" s="18" t="s">
        <v>139</v>
      </c>
      <c r="C25" s="20" t="str">
        <f>Base_de_Datos!B7</f>
        <v>2025-02-01</v>
      </c>
      <c r="D25" s="18" t="s">
        <v>140</v>
      </c>
      <c r="E25" s="20" t="str">
        <f>Base_de_Datos!H7 &amp; " kg / " &amp; Base_de_Datos!I7 &amp; " m"</f>
        <v>72 kg / 1,82 m</v>
      </c>
      <c r="F25" s="18" t="s">
        <v>141</v>
      </c>
      <c r="G25" s="20">
        <f>Base_de_Datos!J7</f>
        <v>21.7</v>
      </c>
    </row>
    <row r="26" spans="1:7" x14ac:dyDescent="0.25">
      <c r="A26" s="25"/>
      <c r="B26" s="18" t="s">
        <v>142</v>
      </c>
      <c r="C26" s="29" t="str">
        <f>Base_de_Datos!K7</f>
        <v>Ninguna</v>
      </c>
      <c r="D26" s="25"/>
      <c r="E26" s="25"/>
      <c r="F26" s="25"/>
      <c r="G26" s="25"/>
    </row>
    <row r="27" spans="1:7" x14ac:dyDescent="0.25">
      <c r="A27" s="25"/>
      <c r="B27" s="17"/>
      <c r="C27" s="25"/>
      <c r="D27" s="25"/>
      <c r="E27" s="25"/>
      <c r="F27" s="25"/>
      <c r="G27" s="25"/>
    </row>
    <row r="28" spans="1:7" x14ac:dyDescent="0.25">
      <c r="A28" s="25"/>
      <c r="B28" s="18" t="s">
        <v>143</v>
      </c>
      <c r="C28" s="33" t="str">
        <f>Base_de_Datos!L7</f>
        <v>José Lambert</v>
      </c>
      <c r="D28" s="25"/>
      <c r="E28" s="18" t="s">
        <v>127</v>
      </c>
      <c r="F28" s="33" t="str">
        <f>Base_de_Datos!M7</f>
        <v>Padre</v>
      </c>
      <c r="G28" s="25"/>
    </row>
    <row r="29" spans="1:7" x14ac:dyDescent="0.25">
      <c r="A29" s="25"/>
      <c r="B29" s="18" t="s">
        <v>144</v>
      </c>
      <c r="C29" s="34" t="str">
        <f>Base_de_Datos!N7</f>
        <v>0424-1112233</v>
      </c>
      <c r="D29" s="25"/>
      <c r="E29" s="18" t="s">
        <v>145</v>
      </c>
      <c r="F29" s="34" t="str">
        <f>Base_de_Datos!O7</f>
        <v>0414-9998877</v>
      </c>
      <c r="G29" s="25"/>
    </row>
    <row r="30" spans="1:7" x14ac:dyDescent="0.25">
      <c r="A30" s="36" t="s">
        <v>146</v>
      </c>
      <c r="B30" s="22"/>
      <c r="C30" s="22"/>
      <c r="D30" s="22"/>
      <c r="E30" s="22"/>
      <c r="F30" s="22"/>
      <c r="G30" s="22"/>
    </row>
    <row r="32" spans="1:7" x14ac:dyDescent="0.25">
      <c r="A32" s="32" t="str">
        <f>IF(Base_de_Datos!A8&lt;&gt;"", "FICHA TÉCNICA - " &amp; Base_de_Datos!A8 &amp; ": " &amp; Base_de_Datos!C8 &amp; " " &amp; Base_de_Datos!D8, "")</f>
        <v>FICHA TÉCNICA - ATL-004: Mariana Isabel Torres Castro</v>
      </c>
      <c r="B32" s="25"/>
      <c r="C32" s="25"/>
      <c r="D32" s="25"/>
      <c r="E32" s="25"/>
      <c r="F32" s="25"/>
      <c r="G32" s="25"/>
    </row>
    <row r="33" spans="1:7" x14ac:dyDescent="0.25">
      <c r="A33" s="35" t="s">
        <v>136</v>
      </c>
      <c r="B33" s="18" t="s">
        <v>137</v>
      </c>
      <c r="C33" s="19" t="str">
        <f>Base_de_Datos!E8</f>
        <v>V-32.111.222</v>
      </c>
      <c r="D33" s="18" t="s">
        <v>138</v>
      </c>
      <c r="E33" s="19" t="str">
        <f>Base_de_Datos!F8</f>
        <v>2010-03-15</v>
      </c>
      <c r="F33" s="18" t="s">
        <v>119</v>
      </c>
      <c r="G33" s="19" t="str">
        <f ca="1">Base_de_Datos!G8 &amp; " años"</f>
        <v>16 años</v>
      </c>
    </row>
    <row r="34" spans="1:7" x14ac:dyDescent="0.25">
      <c r="A34" s="25"/>
      <c r="B34" s="18" t="s">
        <v>139</v>
      </c>
      <c r="C34" s="20" t="str">
        <f>Base_de_Datos!B8</f>
        <v>2025-02-10</v>
      </c>
      <c r="D34" s="18" t="s">
        <v>140</v>
      </c>
      <c r="E34" s="20" t="str">
        <f>Base_de_Datos!H8 &amp; " kg / " &amp; Base_de_Datos!I8 &amp; " m"</f>
        <v>48 kg / 1,58 m</v>
      </c>
      <c r="F34" s="18" t="s">
        <v>141</v>
      </c>
      <c r="G34" s="20">
        <f>Base_de_Datos!J8</f>
        <v>19.2</v>
      </c>
    </row>
    <row r="35" spans="1:7" x14ac:dyDescent="0.25">
      <c r="A35" s="25"/>
      <c r="B35" s="18" t="s">
        <v>142</v>
      </c>
      <c r="C35" s="29" t="str">
        <f>Base_de_Datos!K8</f>
        <v>Asma leve (Usa Inhalador)</v>
      </c>
      <c r="D35" s="25"/>
      <c r="E35" s="25"/>
      <c r="F35" s="25"/>
      <c r="G35" s="25"/>
    </row>
    <row r="36" spans="1:7" x14ac:dyDescent="0.25">
      <c r="A36" s="25"/>
      <c r="B36" s="17"/>
      <c r="C36" s="25"/>
      <c r="D36" s="25"/>
      <c r="E36" s="25"/>
      <c r="F36" s="25"/>
      <c r="G36" s="25"/>
    </row>
    <row r="37" spans="1:7" x14ac:dyDescent="0.25">
      <c r="A37" s="25"/>
      <c r="B37" s="18" t="s">
        <v>143</v>
      </c>
      <c r="C37" s="33" t="str">
        <f>Base_de_Datos!L8</f>
        <v>Carmen Castro</v>
      </c>
      <c r="D37" s="25"/>
      <c r="E37" s="18" t="s">
        <v>127</v>
      </c>
      <c r="F37" s="33" t="str">
        <f>Base_de_Datos!M8</f>
        <v>Madre</v>
      </c>
      <c r="G37" s="25"/>
    </row>
    <row r="38" spans="1:7" x14ac:dyDescent="0.25">
      <c r="A38" s="25"/>
      <c r="B38" s="18" t="s">
        <v>144</v>
      </c>
      <c r="C38" s="34" t="str">
        <f>Base_de_Datos!N8</f>
        <v>0416-3334455</v>
      </c>
      <c r="D38" s="25"/>
      <c r="E38" s="18" t="s">
        <v>145</v>
      </c>
      <c r="F38" s="34" t="str">
        <f>Base_de_Datos!O8</f>
        <v>0412-7778899</v>
      </c>
      <c r="G38" s="25"/>
    </row>
    <row r="39" spans="1:7" x14ac:dyDescent="0.25">
      <c r="A39" s="36" t="s">
        <v>146</v>
      </c>
      <c r="B39" s="22"/>
      <c r="C39" s="22"/>
      <c r="D39" s="22"/>
      <c r="E39" s="22"/>
      <c r="F39" s="22"/>
      <c r="G39" s="22"/>
    </row>
    <row r="41" spans="1:7" x14ac:dyDescent="0.25">
      <c r="A41" s="32" t="str">
        <f>IF(Base_de_Datos!A9&lt;&gt;"", "FICHA TÉCNICA - " &amp; Base_de_Datos!A9 &amp; ": " &amp; Base_de_Datos!C9 &amp; " " &amp; Base_de_Datos!D9, "")</f>
        <v>FICHA TÉCNICA - ATL-005: Gabriel Alejandro Rojas Medina</v>
      </c>
      <c r="B41" s="25"/>
      <c r="C41" s="25"/>
      <c r="D41" s="25"/>
      <c r="E41" s="25"/>
      <c r="F41" s="25"/>
      <c r="G41" s="25"/>
    </row>
    <row r="42" spans="1:7" x14ac:dyDescent="0.25">
      <c r="A42" s="35" t="s">
        <v>136</v>
      </c>
      <c r="B42" s="18" t="s">
        <v>137</v>
      </c>
      <c r="C42" s="19" t="str">
        <f>Base_de_Datos!E9</f>
        <v>V-30.555.666</v>
      </c>
      <c r="D42" s="18" t="s">
        <v>138</v>
      </c>
      <c r="E42" s="19" t="str">
        <f>Base_de_Datos!F9</f>
        <v>2008-09-30</v>
      </c>
      <c r="F42" s="18" t="s">
        <v>119</v>
      </c>
      <c r="G42" s="19" t="str">
        <f ca="1">Base_de_Datos!G9 &amp; " años"</f>
        <v>17 años</v>
      </c>
    </row>
    <row r="43" spans="1:7" x14ac:dyDescent="0.25">
      <c r="A43" s="25"/>
      <c r="B43" s="18" t="s">
        <v>139</v>
      </c>
      <c r="C43" s="20" t="str">
        <f>Base_de_Datos!B9</f>
        <v>2025-03-05</v>
      </c>
      <c r="D43" s="18" t="s">
        <v>140</v>
      </c>
      <c r="E43" s="20" t="str">
        <f>Base_de_Datos!H9 &amp; " kg / " &amp; Base_de_Datos!I9 &amp; " m"</f>
        <v>70 kg / 1,78 m</v>
      </c>
      <c r="F43" s="18" t="s">
        <v>141</v>
      </c>
      <c r="G43" s="20">
        <f>Base_de_Datos!J9</f>
        <v>22.1</v>
      </c>
    </row>
    <row r="44" spans="1:7" x14ac:dyDescent="0.25">
      <c r="A44" s="25"/>
      <c r="B44" s="18" t="s">
        <v>142</v>
      </c>
      <c r="C44" s="29" t="str">
        <f>Base_de_Datos!K9</f>
        <v>Intolerante a la Lactosa</v>
      </c>
      <c r="D44" s="25"/>
      <c r="E44" s="25"/>
      <c r="F44" s="25"/>
      <c r="G44" s="25"/>
    </row>
    <row r="45" spans="1:7" x14ac:dyDescent="0.25">
      <c r="A45" s="25"/>
      <c r="B45" s="17"/>
      <c r="C45" s="25"/>
      <c r="D45" s="25"/>
      <c r="E45" s="25"/>
      <c r="F45" s="25"/>
      <c r="G45" s="25"/>
    </row>
    <row r="46" spans="1:7" x14ac:dyDescent="0.25">
      <c r="A46" s="25"/>
      <c r="B46" s="18" t="s">
        <v>143</v>
      </c>
      <c r="C46" s="33" t="str">
        <f>Base_de_Datos!L9</f>
        <v>Fernando Rojas</v>
      </c>
      <c r="D46" s="25"/>
      <c r="E46" s="18" t="s">
        <v>127</v>
      </c>
      <c r="F46" s="33" t="str">
        <f>Base_de_Datos!M9</f>
        <v>Padre</v>
      </c>
      <c r="G46" s="25"/>
    </row>
    <row r="47" spans="1:7" x14ac:dyDescent="0.25">
      <c r="A47" s="25"/>
      <c r="B47" s="18" t="s">
        <v>144</v>
      </c>
      <c r="C47" s="34" t="str">
        <f>Base_de_Datos!N9</f>
        <v>0414-6667788</v>
      </c>
      <c r="D47" s="25"/>
      <c r="E47" s="18" t="s">
        <v>145</v>
      </c>
      <c r="F47" s="34" t="str">
        <f>Base_de_Datos!O9</f>
        <v>0424-2223344</v>
      </c>
      <c r="G47" s="25"/>
    </row>
    <row r="48" spans="1:7" x14ac:dyDescent="0.25">
      <c r="A48" s="36" t="s">
        <v>146</v>
      </c>
      <c r="B48" s="22"/>
      <c r="C48" s="22"/>
      <c r="D48" s="22"/>
      <c r="E48" s="22"/>
      <c r="F48" s="22"/>
      <c r="G48" s="22"/>
    </row>
    <row r="50" spans="1:7" x14ac:dyDescent="0.25">
      <c r="A50" s="32" t="str">
        <f>IF(Base_de_Datos!A10&lt;&gt;"", "FICHA TÉCNICA - " &amp; Base_de_Datos!A10 &amp; ": " &amp; Base_de_Datos!C10 &amp; " " &amp; Base_de_Datos!D10, "")</f>
        <v>FICHA TÉCNICA - ATL-006: Daniela Victoria López Hernández</v>
      </c>
      <c r="B50" s="25"/>
      <c r="C50" s="25"/>
      <c r="D50" s="25"/>
      <c r="E50" s="25"/>
      <c r="F50" s="25"/>
      <c r="G50" s="25"/>
    </row>
    <row r="51" spans="1:7" x14ac:dyDescent="0.25">
      <c r="A51" s="35" t="s">
        <v>136</v>
      </c>
      <c r="B51" s="18" t="s">
        <v>137</v>
      </c>
      <c r="C51" s="19" t="str">
        <f>Base_de_Datos!E10</f>
        <v>V-31.888.999</v>
      </c>
      <c r="D51" s="18" t="s">
        <v>138</v>
      </c>
      <c r="E51" s="19" t="str">
        <f>Base_de_Datos!F10</f>
        <v>2009-12-18</v>
      </c>
      <c r="F51" s="18" t="s">
        <v>119</v>
      </c>
      <c r="G51" s="19" t="str">
        <f ca="1">Base_de_Datos!G10 &amp; " años"</f>
        <v>16 años</v>
      </c>
    </row>
    <row r="52" spans="1:7" x14ac:dyDescent="0.25">
      <c r="A52" s="25"/>
      <c r="B52" s="18" t="s">
        <v>139</v>
      </c>
      <c r="C52" s="20" t="str">
        <f>Base_de_Datos!B10</f>
        <v>2025-03-12</v>
      </c>
      <c r="D52" s="18" t="s">
        <v>140</v>
      </c>
      <c r="E52" s="20" t="str">
        <f>Base_de_Datos!H10 &amp; " kg / " &amp; Base_de_Datos!I10 &amp; " m"</f>
        <v>56,5 kg / 1,65 m</v>
      </c>
      <c r="F52" s="18" t="s">
        <v>141</v>
      </c>
      <c r="G52" s="20">
        <f>Base_de_Datos!J10</f>
        <v>20.8</v>
      </c>
    </row>
    <row r="53" spans="1:7" x14ac:dyDescent="0.25">
      <c r="A53" s="25"/>
      <c r="B53" s="18" t="s">
        <v>142</v>
      </c>
      <c r="C53" s="29" t="str">
        <f>Base_de_Datos!K10</f>
        <v>Sin novedades médicas</v>
      </c>
      <c r="D53" s="25"/>
      <c r="E53" s="25"/>
      <c r="F53" s="25"/>
      <c r="G53" s="25"/>
    </row>
    <row r="54" spans="1:7" x14ac:dyDescent="0.25">
      <c r="A54" s="25"/>
      <c r="B54" s="17"/>
      <c r="C54" s="25"/>
      <c r="D54" s="25"/>
      <c r="E54" s="25"/>
      <c r="F54" s="25"/>
      <c r="G54" s="25"/>
    </row>
    <row r="55" spans="1:7" x14ac:dyDescent="0.25">
      <c r="A55" s="25"/>
      <c r="B55" s="18" t="s">
        <v>143</v>
      </c>
      <c r="C55" s="33" t="str">
        <f>Base_de_Datos!L10</f>
        <v>Patricia Hernández</v>
      </c>
      <c r="D55" s="25"/>
      <c r="E55" s="18" t="s">
        <v>127</v>
      </c>
      <c r="F55" s="33" t="str">
        <f>Base_de_Datos!M10</f>
        <v>Madre</v>
      </c>
      <c r="G55" s="25"/>
    </row>
    <row r="56" spans="1:7" x14ac:dyDescent="0.25">
      <c r="A56" s="25"/>
      <c r="B56" s="18" t="s">
        <v>144</v>
      </c>
      <c r="C56" s="34" t="str">
        <f>Base_de_Datos!N10</f>
        <v>0424-8889900</v>
      </c>
      <c r="D56" s="25"/>
      <c r="E56" s="18" t="s">
        <v>145</v>
      </c>
      <c r="F56" s="34" t="str">
        <f>Base_de_Datos!O10</f>
        <v>0414-4445566</v>
      </c>
      <c r="G56" s="25"/>
    </row>
    <row r="57" spans="1:7" x14ac:dyDescent="0.25">
      <c r="A57" s="36" t="s">
        <v>146</v>
      </c>
      <c r="B57" s="22"/>
      <c r="C57" s="22"/>
      <c r="D57" s="22"/>
      <c r="E57" s="22"/>
      <c r="F57" s="22"/>
      <c r="G57" s="22"/>
    </row>
    <row r="59" spans="1:7" x14ac:dyDescent="0.25">
      <c r="A59" s="32" t="str">
        <f>IF(Base_de_Datos!A11&lt;&gt;"", "FICHA TÉCNICA - " &amp; Base_de_Datos!A11 &amp; ": " &amp; Base_de_Datos!C11 &amp; " " &amp; Base_de_Datos!D11, "")</f>
        <v>FICHA TÉCNICA - ATL-007: Luis Fernando Díaz Morales</v>
      </c>
      <c r="B59" s="25"/>
      <c r="C59" s="25"/>
      <c r="D59" s="25"/>
      <c r="E59" s="25"/>
      <c r="F59" s="25"/>
      <c r="G59" s="25"/>
    </row>
    <row r="60" spans="1:7" x14ac:dyDescent="0.25">
      <c r="A60" s="35" t="s">
        <v>136</v>
      </c>
      <c r="B60" s="18" t="s">
        <v>137</v>
      </c>
      <c r="C60" s="19" t="str">
        <f>Base_de_Datos!E11</f>
        <v>V-29.333.444</v>
      </c>
      <c r="D60" s="18" t="s">
        <v>138</v>
      </c>
      <c r="E60" s="19" t="str">
        <f>Base_de_Datos!F11</f>
        <v>2007-04-25</v>
      </c>
      <c r="F60" s="18" t="s">
        <v>119</v>
      </c>
      <c r="G60" s="19" t="str">
        <f ca="1">Base_de_Datos!G11 &amp; " años"</f>
        <v>19 años</v>
      </c>
    </row>
    <row r="61" spans="1:7" x14ac:dyDescent="0.25">
      <c r="A61" s="25"/>
      <c r="B61" s="18" t="s">
        <v>139</v>
      </c>
      <c r="C61" s="20" t="str">
        <f>Base_de_Datos!B11</f>
        <v>2025-04-01</v>
      </c>
      <c r="D61" s="18" t="s">
        <v>140</v>
      </c>
      <c r="E61" s="20" t="str">
        <f>Base_de_Datos!H11 &amp; " kg / " &amp; Base_de_Datos!I11 &amp; " m"</f>
        <v>75 kg / 1,85 m</v>
      </c>
      <c r="F61" s="18" t="s">
        <v>141</v>
      </c>
      <c r="G61" s="20">
        <f>Base_de_Datos!J11</f>
        <v>21.9</v>
      </c>
    </row>
    <row r="62" spans="1:7" x14ac:dyDescent="0.25">
      <c r="A62" s="25"/>
      <c r="B62" s="18" t="s">
        <v>142</v>
      </c>
      <c r="C62" s="29" t="str">
        <f>Base_de_Datos!K11</f>
        <v>Lesión previa en rodilla izquierda (recuperado)</v>
      </c>
      <c r="D62" s="25"/>
      <c r="E62" s="25"/>
      <c r="F62" s="25"/>
      <c r="G62" s="25"/>
    </row>
    <row r="63" spans="1:7" x14ac:dyDescent="0.25">
      <c r="A63" s="25"/>
      <c r="B63" s="17"/>
      <c r="C63" s="25"/>
      <c r="D63" s="25"/>
      <c r="E63" s="25"/>
      <c r="F63" s="25"/>
      <c r="G63" s="25"/>
    </row>
    <row r="64" spans="1:7" x14ac:dyDescent="0.25">
      <c r="A64" s="25"/>
      <c r="B64" s="18" t="s">
        <v>143</v>
      </c>
      <c r="C64" s="33" t="str">
        <f>Base_de_Datos!L11</f>
        <v>Luis Díaz Sr.</v>
      </c>
      <c r="D64" s="25"/>
      <c r="E64" s="18" t="s">
        <v>127</v>
      </c>
      <c r="F64" s="33" t="str">
        <f>Base_de_Datos!M11</f>
        <v>Padre</v>
      </c>
      <c r="G64" s="25"/>
    </row>
    <row r="65" spans="1:7" x14ac:dyDescent="0.25">
      <c r="A65" s="25"/>
      <c r="B65" s="18" t="s">
        <v>144</v>
      </c>
      <c r="C65" s="34" t="str">
        <f>Base_de_Datos!N11</f>
        <v>0412-1110000</v>
      </c>
      <c r="D65" s="25"/>
      <c r="E65" s="18" t="s">
        <v>145</v>
      </c>
      <c r="F65" s="34" t="str">
        <f>Base_de_Datos!O11</f>
        <v>0416-2221111</v>
      </c>
      <c r="G65" s="25"/>
    </row>
    <row r="66" spans="1:7" x14ac:dyDescent="0.25">
      <c r="A66" s="36" t="s">
        <v>146</v>
      </c>
      <c r="B66" s="22"/>
      <c r="C66" s="22"/>
      <c r="D66" s="22"/>
      <c r="E66" s="22"/>
      <c r="F66" s="22"/>
      <c r="G66" s="22"/>
    </row>
    <row r="68" spans="1:7" x14ac:dyDescent="0.25">
      <c r="A68" s="32" t="str">
        <f>IF(Base_de_Datos!A12&lt;&gt;"", "FICHA TÉCNICA - " &amp; Base_de_Datos!A12 &amp; ": " &amp; Base_de_Datos!C12 &amp; " " &amp; Base_de_Datos!D12, "")</f>
        <v>FICHA TÉCNICA - ATL-008: Camila Andrea Sánchez Romero</v>
      </c>
      <c r="B68" s="25"/>
      <c r="C68" s="25"/>
      <c r="D68" s="25"/>
      <c r="E68" s="25"/>
      <c r="F68" s="25"/>
      <c r="G68" s="25"/>
    </row>
    <row r="69" spans="1:7" x14ac:dyDescent="0.25">
      <c r="A69" s="35" t="s">
        <v>136</v>
      </c>
      <c r="B69" s="18" t="s">
        <v>137</v>
      </c>
      <c r="C69" s="19" t="str">
        <f>Base_de_Datos!E12</f>
        <v>V-32.444.555</v>
      </c>
      <c r="D69" s="18" t="s">
        <v>138</v>
      </c>
      <c r="E69" s="19" t="str">
        <f>Base_de_Datos!F12</f>
        <v>2010-07-08</v>
      </c>
      <c r="F69" s="18" t="s">
        <v>119</v>
      </c>
      <c r="G69" s="19" t="str">
        <f ca="1">Base_de_Datos!G12 &amp; " años"</f>
        <v>16 años</v>
      </c>
    </row>
    <row r="70" spans="1:7" x14ac:dyDescent="0.25">
      <c r="A70" s="25"/>
      <c r="B70" s="18" t="s">
        <v>139</v>
      </c>
      <c r="C70" s="20" t="str">
        <f>Base_de_Datos!B12</f>
        <v>2025-04-18</v>
      </c>
      <c r="D70" s="18" t="s">
        <v>140</v>
      </c>
      <c r="E70" s="20" t="str">
        <f>Base_de_Datos!H12 &amp; " kg / " &amp; Base_de_Datos!I12 &amp; " m"</f>
        <v>50 kg / 1,6 m</v>
      </c>
      <c r="F70" s="18" t="s">
        <v>141</v>
      </c>
      <c r="G70" s="20">
        <f>Base_de_Datos!J12</f>
        <v>19.5</v>
      </c>
    </row>
    <row r="71" spans="1:7" x14ac:dyDescent="0.25">
      <c r="A71" s="25"/>
      <c r="B71" s="18" t="s">
        <v>142</v>
      </c>
      <c r="C71" s="29" t="str">
        <f>Base_de_Datos!K12</f>
        <v>Sin novedades médicas</v>
      </c>
      <c r="D71" s="25"/>
      <c r="E71" s="25"/>
      <c r="F71" s="25"/>
      <c r="G71" s="25"/>
    </row>
    <row r="72" spans="1:7" x14ac:dyDescent="0.25">
      <c r="A72" s="25"/>
      <c r="B72" s="17"/>
      <c r="C72" s="25"/>
      <c r="D72" s="25"/>
      <c r="E72" s="25"/>
      <c r="F72" s="25"/>
      <c r="G72" s="25"/>
    </row>
    <row r="73" spans="1:7" x14ac:dyDescent="0.25">
      <c r="A73" s="25"/>
      <c r="B73" s="18" t="s">
        <v>143</v>
      </c>
      <c r="C73" s="33" t="str">
        <f>Base_de_Datos!L12</f>
        <v>Andrea Romero</v>
      </c>
      <c r="D73" s="25"/>
      <c r="E73" s="18" t="s">
        <v>127</v>
      </c>
      <c r="F73" s="33" t="str">
        <f>Base_de_Datos!M12</f>
        <v>Madre</v>
      </c>
      <c r="G73" s="25"/>
    </row>
    <row r="74" spans="1:7" x14ac:dyDescent="0.25">
      <c r="A74" s="25"/>
      <c r="B74" s="18" t="s">
        <v>144</v>
      </c>
      <c r="C74" s="34" t="str">
        <f>Base_de_Datos!N12</f>
        <v>0414-5556677</v>
      </c>
      <c r="D74" s="25"/>
      <c r="E74" s="18" t="s">
        <v>145</v>
      </c>
      <c r="F74" s="34" t="str">
        <f>Base_de_Datos!O12</f>
        <v>0424-8887766</v>
      </c>
      <c r="G74" s="25"/>
    </row>
    <row r="75" spans="1:7" x14ac:dyDescent="0.25">
      <c r="A75" s="36" t="s">
        <v>146</v>
      </c>
      <c r="B75" s="22"/>
      <c r="C75" s="22"/>
      <c r="D75" s="22"/>
      <c r="E75" s="22"/>
      <c r="F75" s="22"/>
      <c r="G75" s="22"/>
    </row>
  </sheetData>
  <mergeCells count="65">
    <mergeCell ref="A5:G5"/>
    <mergeCell ref="A23:G23"/>
    <mergeCell ref="F56:G56"/>
    <mergeCell ref="A75:G75"/>
    <mergeCell ref="F37:G37"/>
    <mergeCell ref="A66:G66"/>
    <mergeCell ref="C38:D38"/>
    <mergeCell ref="A42:A47"/>
    <mergeCell ref="C37:D37"/>
    <mergeCell ref="A50:G50"/>
    <mergeCell ref="C44:G45"/>
    <mergeCell ref="A57:G57"/>
    <mergeCell ref="C71:G72"/>
    <mergeCell ref="F64:G64"/>
    <mergeCell ref="F38:G38"/>
    <mergeCell ref="C11:D11"/>
    <mergeCell ref="F46:G46"/>
    <mergeCell ref="F28:G28"/>
    <mergeCell ref="A33:A38"/>
    <mergeCell ref="A41:G41"/>
    <mergeCell ref="A21:G21"/>
    <mergeCell ref="A12:G12"/>
    <mergeCell ref="C19:D19"/>
    <mergeCell ref="C26:G27"/>
    <mergeCell ref="C28:D28"/>
    <mergeCell ref="C35:G36"/>
    <mergeCell ref="C29:D29"/>
    <mergeCell ref="C10:D10"/>
    <mergeCell ref="C47:D47"/>
    <mergeCell ref="C65:D65"/>
    <mergeCell ref="A39:G39"/>
    <mergeCell ref="F20:G20"/>
    <mergeCell ref="A48:G48"/>
    <mergeCell ref="C55:D55"/>
    <mergeCell ref="A30:G30"/>
    <mergeCell ref="A6:A11"/>
    <mergeCell ref="A59:G59"/>
    <mergeCell ref="C53:G54"/>
    <mergeCell ref="C56:D56"/>
    <mergeCell ref="C62:G63"/>
    <mergeCell ref="C46:D46"/>
    <mergeCell ref="F47:G47"/>
    <mergeCell ref="C74:D74"/>
    <mergeCell ref="A60:A65"/>
    <mergeCell ref="C64:D64"/>
    <mergeCell ref="A68:G68"/>
    <mergeCell ref="F74:G74"/>
    <mergeCell ref="C73:D73"/>
    <mergeCell ref="A69:A74"/>
    <mergeCell ref="A32:G32"/>
    <mergeCell ref="F73:G73"/>
    <mergeCell ref="A14:G14"/>
    <mergeCell ref="F11:G11"/>
    <mergeCell ref="A1:G2"/>
    <mergeCell ref="F29:G29"/>
    <mergeCell ref="F10:G10"/>
    <mergeCell ref="A15:A20"/>
    <mergeCell ref="F19:G19"/>
    <mergeCell ref="F65:G65"/>
    <mergeCell ref="A24:A29"/>
    <mergeCell ref="A51:A56"/>
    <mergeCell ref="C8:G9"/>
    <mergeCell ref="C17:G18"/>
    <mergeCell ref="C20:D20"/>
    <mergeCell ref="F55:G5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5"/>
  <sheetViews>
    <sheetView tabSelected="1" workbookViewId="0">
      <selection sqref="A1:G2"/>
    </sheetView>
  </sheetViews>
  <sheetFormatPr baseColWidth="10" defaultColWidth="9.140625" defaultRowHeight="15" x14ac:dyDescent="0.25"/>
  <cols>
    <col min="1" max="7" width="16" customWidth="1"/>
  </cols>
  <sheetData>
    <row r="1" spans="1:7" x14ac:dyDescent="0.25">
      <c r="A1" s="21" t="s">
        <v>147</v>
      </c>
      <c r="B1" s="22"/>
      <c r="C1" s="22"/>
      <c r="D1" s="22"/>
      <c r="E1" s="22"/>
      <c r="F1" s="22"/>
      <c r="G1" s="22"/>
    </row>
    <row r="2" spans="1:7" x14ac:dyDescent="0.25">
      <c r="A2" s="22"/>
      <c r="B2" s="22"/>
      <c r="C2" s="22"/>
      <c r="D2" s="22"/>
      <c r="E2" s="22"/>
      <c r="F2" s="22"/>
      <c r="G2" s="22"/>
    </row>
    <row r="4" spans="1:7" ht="15.75" x14ac:dyDescent="0.25">
      <c r="A4" s="37" t="s">
        <v>148</v>
      </c>
      <c r="B4" s="22"/>
      <c r="C4" s="22"/>
      <c r="D4" s="22"/>
      <c r="E4" s="22"/>
      <c r="F4" s="22"/>
      <c r="G4" s="22"/>
    </row>
    <row r="5" spans="1:7" x14ac:dyDescent="0.25">
      <c r="A5" s="38" t="s">
        <v>149</v>
      </c>
      <c r="B5" s="22"/>
      <c r="C5" s="22"/>
      <c r="D5" s="22"/>
      <c r="E5" s="22"/>
      <c r="F5" s="22"/>
      <c r="G5" s="22"/>
    </row>
    <row r="6" spans="1:7" x14ac:dyDescent="0.25">
      <c r="A6" s="38" t="s">
        <v>150</v>
      </c>
      <c r="B6" s="22"/>
      <c r="C6" s="22"/>
      <c r="D6" s="22"/>
      <c r="E6" s="22"/>
      <c r="F6" s="22"/>
      <c r="G6" s="22"/>
    </row>
    <row r="8" spans="1:7" ht="15.75" x14ac:dyDescent="0.25">
      <c r="A8" s="37" t="s">
        <v>151</v>
      </c>
      <c r="B8" s="22"/>
      <c r="C8" s="22"/>
      <c r="D8" s="22"/>
      <c r="E8" s="22"/>
      <c r="F8" s="22"/>
      <c r="G8" s="22"/>
    </row>
    <row r="9" spans="1:7" x14ac:dyDescent="0.25">
      <c r="A9" s="38" t="s">
        <v>152</v>
      </c>
      <c r="B9" s="22"/>
      <c r="C9" s="22"/>
      <c r="D9" s="22"/>
      <c r="E9" s="22"/>
      <c r="F9" s="22"/>
      <c r="G9" s="22"/>
    </row>
    <row r="10" spans="1:7" x14ac:dyDescent="0.25">
      <c r="A10" s="38" t="s">
        <v>153</v>
      </c>
      <c r="B10" s="22"/>
      <c r="C10" s="22"/>
      <c r="D10" s="22"/>
      <c r="E10" s="22"/>
      <c r="F10" s="22"/>
      <c r="G10" s="22"/>
    </row>
    <row r="11" spans="1:7" x14ac:dyDescent="0.25">
      <c r="A11" s="38" t="s">
        <v>154</v>
      </c>
      <c r="B11" s="22"/>
      <c r="C11" s="22"/>
      <c r="D11" s="22"/>
      <c r="E11" s="22"/>
      <c r="F11" s="22"/>
      <c r="G11" s="22"/>
    </row>
    <row r="12" spans="1:7" x14ac:dyDescent="0.25">
      <c r="A12" s="38" t="s">
        <v>155</v>
      </c>
      <c r="B12" s="22"/>
      <c r="C12" s="22"/>
      <c r="D12" s="22"/>
      <c r="E12" s="22"/>
      <c r="F12" s="22"/>
      <c r="G12" s="22"/>
    </row>
    <row r="14" spans="1:7" ht="15.75" x14ac:dyDescent="0.25">
      <c r="A14" s="37" t="s">
        <v>156</v>
      </c>
      <c r="B14" s="22"/>
      <c r="C14" s="22"/>
      <c r="D14" s="22"/>
      <c r="E14" s="22"/>
      <c r="F14" s="22"/>
      <c r="G14" s="22"/>
    </row>
    <row r="15" spans="1:7" x14ac:dyDescent="0.25">
      <c r="A15" s="38" t="s">
        <v>157</v>
      </c>
      <c r="B15" s="22"/>
      <c r="C15" s="22"/>
      <c r="D15" s="22"/>
      <c r="E15" s="22"/>
      <c r="F15" s="22"/>
      <c r="G15" s="22"/>
    </row>
    <row r="16" spans="1:7" x14ac:dyDescent="0.25">
      <c r="A16" s="38" t="s">
        <v>158</v>
      </c>
      <c r="B16" s="22"/>
      <c r="C16" s="22"/>
      <c r="D16" s="22"/>
      <c r="E16" s="22"/>
      <c r="F16" s="22"/>
      <c r="G16" s="22"/>
    </row>
    <row r="17" spans="1:7" x14ac:dyDescent="0.25">
      <c r="A17" s="38" t="s">
        <v>159</v>
      </c>
      <c r="B17" s="22"/>
      <c r="C17" s="22"/>
      <c r="D17" s="22"/>
      <c r="E17" s="22"/>
      <c r="F17" s="22"/>
      <c r="G17" s="22"/>
    </row>
    <row r="19" spans="1:7" ht="15.75" x14ac:dyDescent="0.25">
      <c r="A19" s="40" t="s">
        <v>160</v>
      </c>
      <c r="B19" s="22"/>
      <c r="C19" s="22"/>
      <c r="D19" s="22"/>
      <c r="E19" s="22"/>
      <c r="F19" s="22"/>
      <c r="G19" s="22"/>
    </row>
    <row r="20" spans="1:7" x14ac:dyDescent="0.25">
      <c r="A20" s="39" t="s">
        <v>161</v>
      </c>
      <c r="B20" s="25"/>
      <c r="C20" s="25"/>
      <c r="D20" s="25"/>
      <c r="E20" s="25"/>
      <c r="F20" s="25"/>
      <c r="G20" s="25"/>
    </row>
    <row r="21" spans="1:7" x14ac:dyDescent="0.25">
      <c r="A21" s="25"/>
      <c r="B21" s="25"/>
      <c r="C21" s="25"/>
      <c r="D21" s="25"/>
      <c r="E21" s="25"/>
      <c r="F21" s="25"/>
      <c r="G21" s="25"/>
    </row>
    <row r="22" spans="1:7" x14ac:dyDescent="0.25">
      <c r="A22" s="25"/>
      <c r="B22" s="25"/>
      <c r="C22" s="25"/>
      <c r="D22" s="25"/>
      <c r="E22" s="25"/>
      <c r="F22" s="25"/>
      <c r="G22" s="25"/>
    </row>
    <row r="23" spans="1:7" x14ac:dyDescent="0.25">
      <c r="A23" s="25"/>
      <c r="B23" s="25"/>
      <c r="C23" s="25"/>
      <c r="D23" s="25"/>
      <c r="E23" s="25"/>
      <c r="F23" s="25"/>
      <c r="G23" s="25"/>
    </row>
    <row r="24" spans="1:7" x14ac:dyDescent="0.25">
      <c r="A24" s="25"/>
      <c r="B24" s="25"/>
      <c r="C24" s="25"/>
      <c r="D24" s="25"/>
      <c r="E24" s="25"/>
      <c r="F24" s="25"/>
      <c r="G24" s="25"/>
    </row>
    <row r="25" spans="1:7" x14ac:dyDescent="0.25">
      <c r="A25" s="25"/>
      <c r="B25" s="25"/>
      <c r="C25" s="25"/>
      <c r="D25" s="25"/>
      <c r="E25" s="25"/>
      <c r="F25" s="25"/>
      <c r="G25" s="25"/>
    </row>
    <row r="26" spans="1:7" x14ac:dyDescent="0.25">
      <c r="A26" s="25"/>
      <c r="B26" s="25"/>
      <c r="C26" s="25"/>
      <c r="D26" s="25"/>
      <c r="E26" s="25"/>
      <c r="F26" s="25"/>
      <c r="G26" s="25"/>
    </row>
    <row r="27" spans="1:7" x14ac:dyDescent="0.25">
      <c r="A27" s="25"/>
      <c r="B27" s="25"/>
      <c r="C27" s="25"/>
      <c r="D27" s="25"/>
      <c r="E27" s="25"/>
      <c r="F27" s="25"/>
      <c r="G27" s="25"/>
    </row>
    <row r="28" spans="1:7" x14ac:dyDescent="0.25">
      <c r="A28" s="25"/>
      <c r="B28" s="25"/>
      <c r="C28" s="25"/>
      <c r="D28" s="25"/>
      <c r="E28" s="25"/>
      <c r="F28" s="25"/>
      <c r="G28" s="25"/>
    </row>
    <row r="29" spans="1:7" x14ac:dyDescent="0.25">
      <c r="A29" s="25"/>
      <c r="B29" s="25"/>
      <c r="C29" s="25"/>
      <c r="D29" s="25"/>
      <c r="E29" s="25"/>
      <c r="F29" s="25"/>
      <c r="G29" s="25"/>
    </row>
    <row r="30" spans="1:7" x14ac:dyDescent="0.25">
      <c r="A30" s="25"/>
      <c r="B30" s="25"/>
      <c r="C30" s="25"/>
      <c r="D30" s="25"/>
      <c r="E30" s="25"/>
      <c r="F30" s="25"/>
      <c r="G30" s="25"/>
    </row>
    <row r="31" spans="1:7" x14ac:dyDescent="0.25">
      <c r="A31" s="25"/>
      <c r="B31" s="25"/>
      <c r="C31" s="25"/>
      <c r="D31" s="25"/>
      <c r="E31" s="25"/>
      <c r="F31" s="25"/>
      <c r="G31" s="25"/>
    </row>
    <row r="32" spans="1:7" x14ac:dyDescent="0.25">
      <c r="A32" s="25"/>
      <c r="B32" s="25"/>
      <c r="C32" s="25"/>
      <c r="D32" s="25"/>
      <c r="E32" s="25"/>
      <c r="F32" s="25"/>
      <c r="G32" s="25"/>
    </row>
    <row r="33" spans="1:7" x14ac:dyDescent="0.25">
      <c r="A33" s="25"/>
      <c r="B33" s="25"/>
      <c r="C33" s="25"/>
      <c r="D33" s="25"/>
      <c r="E33" s="25"/>
      <c r="F33" s="25"/>
      <c r="G33" s="25"/>
    </row>
    <row r="34" spans="1:7" x14ac:dyDescent="0.25">
      <c r="A34" s="25"/>
      <c r="B34" s="25"/>
      <c r="C34" s="25"/>
      <c r="D34" s="25"/>
      <c r="E34" s="25"/>
      <c r="F34" s="25"/>
      <c r="G34" s="25"/>
    </row>
    <row r="35" spans="1:7" x14ac:dyDescent="0.25">
      <c r="A35" s="25"/>
      <c r="B35" s="25"/>
      <c r="C35" s="25"/>
      <c r="D35" s="25"/>
      <c r="E35" s="25"/>
      <c r="F35" s="25"/>
      <c r="G35" s="25"/>
    </row>
    <row r="36" spans="1:7" x14ac:dyDescent="0.25">
      <c r="A36" s="25"/>
      <c r="B36" s="25"/>
      <c r="C36" s="25"/>
      <c r="D36" s="25"/>
      <c r="E36" s="25"/>
      <c r="F36" s="25"/>
      <c r="G36" s="25"/>
    </row>
    <row r="37" spans="1:7" x14ac:dyDescent="0.25">
      <c r="A37" s="25"/>
      <c r="B37" s="25"/>
      <c r="C37" s="25"/>
      <c r="D37" s="25"/>
      <c r="E37" s="25"/>
      <c r="F37" s="25"/>
      <c r="G37" s="25"/>
    </row>
    <row r="38" spans="1:7" x14ac:dyDescent="0.25">
      <c r="A38" s="25"/>
      <c r="B38" s="25"/>
      <c r="C38" s="25"/>
      <c r="D38" s="25"/>
      <c r="E38" s="25"/>
      <c r="F38" s="25"/>
      <c r="G38" s="25"/>
    </row>
    <row r="39" spans="1:7" x14ac:dyDescent="0.25">
      <c r="A39" s="25"/>
      <c r="B39" s="25"/>
      <c r="C39" s="25"/>
      <c r="D39" s="25"/>
      <c r="E39" s="25"/>
      <c r="F39" s="25"/>
      <c r="G39" s="25"/>
    </row>
    <row r="40" spans="1:7" x14ac:dyDescent="0.25">
      <c r="A40" s="25"/>
      <c r="B40" s="25"/>
      <c r="C40" s="25"/>
      <c r="D40" s="25"/>
      <c r="E40" s="25"/>
      <c r="F40" s="25"/>
      <c r="G40" s="25"/>
    </row>
    <row r="41" spans="1:7" x14ac:dyDescent="0.25">
      <c r="A41" s="25"/>
      <c r="B41" s="25"/>
      <c r="C41" s="25"/>
      <c r="D41" s="25"/>
      <c r="E41" s="25"/>
      <c r="F41" s="25"/>
      <c r="G41" s="25"/>
    </row>
    <row r="42" spans="1:7" x14ac:dyDescent="0.25">
      <c r="A42" s="25"/>
      <c r="B42" s="25"/>
      <c r="C42" s="25"/>
      <c r="D42" s="25"/>
      <c r="E42" s="25"/>
      <c r="F42" s="25"/>
      <c r="G42" s="25"/>
    </row>
    <row r="43" spans="1:7" x14ac:dyDescent="0.25">
      <c r="A43" s="25"/>
      <c r="B43" s="25"/>
      <c r="C43" s="25"/>
      <c r="D43" s="25"/>
      <c r="E43" s="25"/>
      <c r="F43" s="25"/>
      <c r="G43" s="25"/>
    </row>
    <row r="44" spans="1:7" x14ac:dyDescent="0.25">
      <c r="A44" s="25"/>
      <c r="B44" s="25"/>
      <c r="C44" s="25"/>
      <c r="D44" s="25"/>
      <c r="E44" s="25"/>
      <c r="F44" s="25"/>
      <c r="G44" s="25"/>
    </row>
    <row r="45" spans="1:7" x14ac:dyDescent="0.25">
      <c r="A45" s="25"/>
      <c r="B45" s="25"/>
      <c r="C45" s="25"/>
      <c r="D45" s="25"/>
      <c r="E45" s="25"/>
      <c r="F45" s="25"/>
      <c r="G45" s="25"/>
    </row>
  </sheetData>
  <mergeCells count="15">
    <mergeCell ref="A20:G45"/>
    <mergeCell ref="A12:G12"/>
    <mergeCell ref="A4:G4"/>
    <mergeCell ref="A16:G16"/>
    <mergeCell ref="A15:G15"/>
    <mergeCell ref="A19:G19"/>
    <mergeCell ref="A11:G11"/>
    <mergeCell ref="A10:G10"/>
    <mergeCell ref="A5:G5"/>
    <mergeCell ref="A14:G14"/>
    <mergeCell ref="A17:G17"/>
    <mergeCell ref="A1:G2"/>
    <mergeCell ref="A9:G9"/>
    <mergeCell ref="A8:G8"/>
    <mergeCell ref="A6:G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Base_de_Datos</vt:lpstr>
      <vt:lpstr>Ficha_Individual</vt:lpstr>
      <vt:lpstr>Fichas_Todos_Impresion</vt:lpstr>
      <vt:lpstr>Codigo_VBA_y_Manual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lambertgjl@gmail.com</cp:lastModifiedBy>
  <dcterms:created xsi:type="dcterms:W3CDTF">2026-10-01T00:05:24Z</dcterms:created>
  <dcterms:modified xsi:type="dcterms:W3CDTF">2026-10-01T00:11:10Z</dcterms:modified>
</cp:coreProperties>
</file>